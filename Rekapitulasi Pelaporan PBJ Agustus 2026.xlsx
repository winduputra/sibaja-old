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zky\Downloads\"/>
    </mc:Choice>
  </mc:AlternateContent>
  <xr:revisionPtr revIDLastSave="0" documentId="8_{76A823A4-D144-4C1F-84DD-105824A82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P" sheetId="8" r:id="rId1"/>
    <sheet name="E-Kontrak" sheetId="5" r:id="rId2"/>
    <sheet name="Pencatatan Swakelola" sheetId="1" r:id="rId3"/>
    <sheet name="Pencatatan Non Tender" sheetId="2" r:id="rId4"/>
    <sheet name="Katalog" sheetId="4" r:id="rId5"/>
    <sheet name="Loka Pasar" sheetId="7" r:id="rId6"/>
  </sheets>
  <definedNames>
    <definedName name="_xlnm.Print_Titles" localSheetId="5">'Loka Pasar'!$4:$5</definedName>
    <definedName name="_xlnm.Print_Titles" localSheetId="2">'Pencatatan Swakelola'!$4:$5</definedName>
    <definedName name="_xlnm.Print_Titles" localSheetId="0">RUP!$4:$5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/>
  <c r="F55" i="2" l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F44" i="2"/>
  <c r="G44" i="2" s="1"/>
  <c r="F43" i="2"/>
  <c r="G43" i="2" s="1"/>
  <c r="F42" i="2"/>
  <c r="F41" i="2"/>
  <c r="F40" i="2"/>
  <c r="F39" i="2"/>
  <c r="F38" i="2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F27" i="2"/>
  <c r="G27" i="2" s="1"/>
  <c r="F26" i="2"/>
  <c r="F25" i="2"/>
  <c r="F24" i="2"/>
  <c r="F23" i="2"/>
  <c r="F22" i="2"/>
  <c r="F21" i="2"/>
  <c r="F20" i="2"/>
  <c r="F19" i="2"/>
  <c r="G19" i="2" s="1"/>
  <c r="F18" i="2"/>
  <c r="F17" i="2"/>
  <c r="F16" i="2"/>
  <c r="F15" i="2"/>
  <c r="G15" i="2" s="1"/>
  <c r="F14" i="2"/>
  <c r="G14" i="2" s="1"/>
  <c r="F13" i="2"/>
  <c r="G13" i="2" s="1"/>
  <c r="F12" i="2"/>
  <c r="G12" i="2" s="1"/>
  <c r="G55" i="2"/>
  <c r="G42" i="2"/>
  <c r="G41" i="2"/>
  <c r="G40" i="2"/>
  <c r="G39" i="2"/>
  <c r="G38" i="2"/>
  <c r="G26" i="2"/>
  <c r="G25" i="2"/>
  <c r="G24" i="2"/>
  <c r="G22" i="2"/>
  <c r="G21" i="2"/>
  <c r="G20" i="2"/>
  <c r="F11" i="2"/>
  <c r="G11" i="2" s="1"/>
  <c r="F10" i="2"/>
  <c r="G10" i="2" s="1"/>
  <c r="F9" i="2"/>
  <c r="G9" i="2" s="1"/>
  <c r="F8" i="2"/>
  <c r="G8" i="2" s="1"/>
  <c r="F7" i="2"/>
  <c r="G7" i="2" s="1"/>
  <c r="E56" i="2"/>
  <c r="D56" i="2"/>
  <c r="C56" i="2"/>
  <c r="E56" i="1"/>
  <c r="D56" i="1"/>
  <c r="C56" i="1"/>
  <c r="H55" i="8"/>
  <c r="G55" i="8"/>
  <c r="E55" i="8"/>
  <c r="D55" i="8"/>
  <c r="C55" i="8"/>
  <c r="I55" i="8" s="1"/>
  <c r="K54" i="8"/>
  <c r="L54" i="8" s="1"/>
  <c r="J54" i="8"/>
  <c r="I54" i="8"/>
  <c r="F54" i="8"/>
  <c r="K53" i="8"/>
  <c r="L53" i="8" s="1"/>
  <c r="J53" i="8"/>
  <c r="I53" i="8"/>
  <c r="F53" i="8"/>
  <c r="K52" i="8"/>
  <c r="L52" i="8" s="1"/>
  <c r="J52" i="8"/>
  <c r="I52" i="8"/>
  <c r="F52" i="8"/>
  <c r="K51" i="8"/>
  <c r="L51" i="8" s="1"/>
  <c r="J51" i="8"/>
  <c r="I51" i="8"/>
  <c r="F51" i="8"/>
  <c r="K50" i="8"/>
  <c r="L50" i="8" s="1"/>
  <c r="J50" i="8"/>
  <c r="I50" i="8"/>
  <c r="F50" i="8"/>
  <c r="K49" i="8"/>
  <c r="L49" i="8" s="1"/>
  <c r="J49" i="8"/>
  <c r="I49" i="8"/>
  <c r="F49" i="8"/>
  <c r="K48" i="8"/>
  <c r="L48" i="8" s="1"/>
  <c r="J48" i="8"/>
  <c r="I48" i="8"/>
  <c r="F48" i="8"/>
  <c r="K47" i="8"/>
  <c r="L47" i="8" s="1"/>
  <c r="J47" i="8"/>
  <c r="I47" i="8"/>
  <c r="F47" i="8"/>
  <c r="K46" i="8"/>
  <c r="L46" i="8" s="1"/>
  <c r="J46" i="8"/>
  <c r="I46" i="8"/>
  <c r="F46" i="8"/>
  <c r="K45" i="8"/>
  <c r="L45" i="8" s="1"/>
  <c r="J45" i="8"/>
  <c r="I45" i="8"/>
  <c r="F45" i="8"/>
  <c r="K44" i="8"/>
  <c r="L44" i="8" s="1"/>
  <c r="J44" i="8"/>
  <c r="I44" i="8"/>
  <c r="F44" i="8"/>
  <c r="K43" i="8"/>
  <c r="L43" i="8" s="1"/>
  <c r="J43" i="8"/>
  <c r="I43" i="8"/>
  <c r="F43" i="8"/>
  <c r="K42" i="8"/>
  <c r="L42" i="8" s="1"/>
  <c r="J42" i="8"/>
  <c r="I42" i="8"/>
  <c r="F42" i="8"/>
  <c r="K41" i="8"/>
  <c r="L41" i="8" s="1"/>
  <c r="J41" i="8"/>
  <c r="I41" i="8"/>
  <c r="F41" i="8"/>
  <c r="K40" i="8"/>
  <c r="L40" i="8" s="1"/>
  <c r="J40" i="8"/>
  <c r="I40" i="8"/>
  <c r="F40" i="8"/>
  <c r="K39" i="8"/>
  <c r="L39" i="8" s="1"/>
  <c r="J39" i="8"/>
  <c r="I39" i="8"/>
  <c r="F39" i="8"/>
  <c r="K38" i="8"/>
  <c r="L38" i="8" s="1"/>
  <c r="J38" i="8"/>
  <c r="I38" i="8"/>
  <c r="F38" i="8"/>
  <c r="K37" i="8"/>
  <c r="L37" i="8" s="1"/>
  <c r="J37" i="8"/>
  <c r="I37" i="8"/>
  <c r="F37" i="8"/>
  <c r="K36" i="8"/>
  <c r="L36" i="8" s="1"/>
  <c r="J36" i="8"/>
  <c r="I36" i="8"/>
  <c r="F36" i="8"/>
  <c r="K35" i="8"/>
  <c r="L35" i="8" s="1"/>
  <c r="J35" i="8"/>
  <c r="I35" i="8"/>
  <c r="F35" i="8"/>
  <c r="K34" i="8"/>
  <c r="L34" i="8" s="1"/>
  <c r="J34" i="8"/>
  <c r="I34" i="8"/>
  <c r="F34" i="8"/>
  <c r="K33" i="8"/>
  <c r="L33" i="8" s="1"/>
  <c r="J33" i="8"/>
  <c r="I33" i="8"/>
  <c r="F33" i="8"/>
  <c r="K32" i="8"/>
  <c r="L32" i="8" s="1"/>
  <c r="J32" i="8"/>
  <c r="I32" i="8"/>
  <c r="F32" i="8"/>
  <c r="K31" i="8"/>
  <c r="L31" i="8" s="1"/>
  <c r="J31" i="8"/>
  <c r="I31" i="8"/>
  <c r="F31" i="8"/>
  <c r="K30" i="8"/>
  <c r="L30" i="8" s="1"/>
  <c r="J30" i="8"/>
  <c r="I30" i="8"/>
  <c r="F30" i="8"/>
  <c r="K29" i="8"/>
  <c r="L29" i="8" s="1"/>
  <c r="J29" i="8"/>
  <c r="I29" i="8"/>
  <c r="F29" i="8"/>
  <c r="K28" i="8"/>
  <c r="L28" i="8" s="1"/>
  <c r="J28" i="8"/>
  <c r="I28" i="8"/>
  <c r="F28" i="8"/>
  <c r="K27" i="8"/>
  <c r="L27" i="8" s="1"/>
  <c r="J27" i="8"/>
  <c r="I27" i="8"/>
  <c r="F27" i="8"/>
  <c r="K26" i="8"/>
  <c r="L26" i="8" s="1"/>
  <c r="J26" i="8"/>
  <c r="I26" i="8"/>
  <c r="F26" i="8"/>
  <c r="L25" i="8"/>
  <c r="K25" i="8"/>
  <c r="J25" i="8"/>
  <c r="I25" i="8"/>
  <c r="F25" i="8"/>
  <c r="K24" i="8"/>
  <c r="L24" i="8" s="1"/>
  <c r="J24" i="8"/>
  <c r="I24" i="8"/>
  <c r="F24" i="8"/>
  <c r="K23" i="8"/>
  <c r="L23" i="8" s="1"/>
  <c r="J23" i="8"/>
  <c r="I23" i="8"/>
  <c r="F23" i="8"/>
  <c r="K22" i="8"/>
  <c r="L22" i="8" s="1"/>
  <c r="J22" i="8"/>
  <c r="I22" i="8"/>
  <c r="F22" i="8"/>
  <c r="K21" i="8"/>
  <c r="L21" i="8" s="1"/>
  <c r="J21" i="8"/>
  <c r="I21" i="8"/>
  <c r="F21" i="8"/>
  <c r="K20" i="8"/>
  <c r="L20" i="8" s="1"/>
  <c r="J20" i="8"/>
  <c r="I20" i="8"/>
  <c r="F20" i="8"/>
  <c r="K19" i="8"/>
  <c r="L19" i="8" s="1"/>
  <c r="J19" i="8"/>
  <c r="I19" i="8"/>
  <c r="F19" i="8"/>
  <c r="K18" i="8"/>
  <c r="L18" i="8" s="1"/>
  <c r="J18" i="8"/>
  <c r="I18" i="8"/>
  <c r="F18" i="8"/>
  <c r="K17" i="8"/>
  <c r="L17" i="8" s="1"/>
  <c r="J17" i="8"/>
  <c r="I17" i="8"/>
  <c r="F17" i="8"/>
  <c r="K16" i="8"/>
  <c r="L16" i="8" s="1"/>
  <c r="J16" i="8"/>
  <c r="I16" i="8"/>
  <c r="F16" i="8"/>
  <c r="K15" i="8"/>
  <c r="L15" i="8" s="1"/>
  <c r="J15" i="8"/>
  <c r="I15" i="8"/>
  <c r="F15" i="8"/>
  <c r="K14" i="8"/>
  <c r="L14" i="8" s="1"/>
  <c r="J14" i="8"/>
  <c r="I14" i="8"/>
  <c r="F14" i="8"/>
  <c r="K13" i="8"/>
  <c r="L13" i="8" s="1"/>
  <c r="J13" i="8"/>
  <c r="I13" i="8"/>
  <c r="F13" i="8"/>
  <c r="K12" i="8"/>
  <c r="L12" i="8" s="1"/>
  <c r="J12" i="8"/>
  <c r="I12" i="8"/>
  <c r="F12" i="8"/>
  <c r="K11" i="8"/>
  <c r="L11" i="8" s="1"/>
  <c r="J11" i="8"/>
  <c r="I11" i="8"/>
  <c r="F11" i="8"/>
  <c r="K10" i="8"/>
  <c r="L10" i="8" s="1"/>
  <c r="J10" i="8"/>
  <c r="I10" i="8"/>
  <c r="F10" i="8"/>
  <c r="K9" i="8"/>
  <c r="L9" i="8" s="1"/>
  <c r="J9" i="8"/>
  <c r="I9" i="8"/>
  <c r="F9" i="8"/>
  <c r="K8" i="8"/>
  <c r="L8" i="8" s="1"/>
  <c r="J8" i="8"/>
  <c r="I8" i="8"/>
  <c r="F8" i="8"/>
  <c r="K7" i="8"/>
  <c r="L7" i="8" s="1"/>
  <c r="J7" i="8"/>
  <c r="I7" i="8"/>
  <c r="F7" i="8"/>
  <c r="K6" i="8"/>
  <c r="L6" i="8" s="1"/>
  <c r="J6" i="8"/>
  <c r="I6" i="8"/>
  <c r="F6" i="8"/>
  <c r="J55" i="8" l="1"/>
  <c r="F55" i="8"/>
  <c r="F56" i="2"/>
  <c r="G56" i="2" s="1"/>
  <c r="K55" i="8"/>
  <c r="L55" i="8" s="1"/>
  <c r="F55" i="1" l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F56" i="1" l="1"/>
  <c r="G56" i="1" s="1"/>
  <c r="G7" i="1"/>
  <c r="E56" i="7"/>
  <c r="D56" i="7"/>
  <c r="C56" i="7"/>
  <c r="F55" i="7"/>
  <c r="G55" i="7" s="1"/>
  <c r="F54" i="7"/>
  <c r="G54" i="7" s="1"/>
  <c r="F53" i="7"/>
  <c r="G53" i="7" s="1"/>
  <c r="F52" i="7"/>
  <c r="G52" i="7" s="1"/>
  <c r="F51" i="7"/>
  <c r="G51" i="7" s="1"/>
  <c r="F50" i="7"/>
  <c r="G50" i="7" s="1"/>
  <c r="F49" i="7"/>
  <c r="G49" i="7" s="1"/>
  <c r="F48" i="7"/>
  <c r="G48" i="7" s="1"/>
  <c r="F47" i="7"/>
  <c r="G47" i="7" s="1"/>
  <c r="F46" i="7"/>
  <c r="G46" i="7" s="1"/>
  <c r="F45" i="7"/>
  <c r="G45" i="7" s="1"/>
  <c r="F44" i="7"/>
  <c r="G44" i="7" s="1"/>
  <c r="F43" i="7"/>
  <c r="G43" i="7" s="1"/>
  <c r="F42" i="7"/>
  <c r="G42" i="7" s="1"/>
  <c r="F41" i="7"/>
  <c r="G41" i="7" s="1"/>
  <c r="F40" i="7"/>
  <c r="G40" i="7" s="1"/>
  <c r="F39" i="7"/>
  <c r="G39" i="7" s="1"/>
  <c r="F38" i="7"/>
  <c r="G38" i="7" s="1"/>
  <c r="F37" i="7"/>
  <c r="G37" i="7" s="1"/>
  <c r="F36" i="7"/>
  <c r="G36" i="7" s="1"/>
  <c r="F35" i="7"/>
  <c r="G35" i="7" s="1"/>
  <c r="F34" i="7"/>
  <c r="G34" i="7" s="1"/>
  <c r="F33" i="7"/>
  <c r="G33" i="7" s="1"/>
  <c r="F32" i="7"/>
  <c r="G32" i="7" s="1"/>
  <c r="F31" i="7"/>
  <c r="G31" i="7" s="1"/>
  <c r="F30" i="7"/>
  <c r="G30" i="7" s="1"/>
  <c r="F29" i="7"/>
  <c r="G29" i="7" s="1"/>
  <c r="F28" i="7"/>
  <c r="G28" i="7" s="1"/>
  <c r="F27" i="7"/>
  <c r="G27" i="7" s="1"/>
  <c r="F26" i="7"/>
  <c r="G26" i="7" s="1"/>
  <c r="F25" i="7"/>
  <c r="G25" i="7" s="1"/>
  <c r="F24" i="7"/>
  <c r="G24" i="7" s="1"/>
  <c r="F23" i="7"/>
  <c r="G23" i="7" s="1"/>
  <c r="F22" i="7"/>
  <c r="G22" i="7" s="1"/>
  <c r="F21" i="7"/>
  <c r="G21" i="7" s="1"/>
  <c r="F20" i="7"/>
  <c r="G20" i="7" s="1"/>
  <c r="F19" i="7"/>
  <c r="G19" i="7" s="1"/>
  <c r="F18" i="7"/>
  <c r="G18" i="7" s="1"/>
  <c r="F17" i="7"/>
  <c r="G17" i="7" s="1"/>
  <c r="F16" i="7"/>
  <c r="G16" i="7" s="1"/>
  <c r="F15" i="7"/>
  <c r="G15" i="7" s="1"/>
  <c r="F14" i="7"/>
  <c r="G14" i="7" s="1"/>
  <c r="F13" i="7"/>
  <c r="G13" i="7" s="1"/>
  <c r="F12" i="7"/>
  <c r="G12" i="7" s="1"/>
  <c r="F11" i="7"/>
  <c r="G11" i="7" s="1"/>
  <c r="F10" i="7"/>
  <c r="G10" i="7" s="1"/>
  <c r="F9" i="7"/>
  <c r="G9" i="7" s="1"/>
  <c r="F8" i="7"/>
  <c r="G8" i="7" s="1"/>
  <c r="F7" i="7"/>
  <c r="G7" i="7" s="1"/>
  <c r="S11" i="5"/>
  <c r="R11" i="5"/>
  <c r="Q11" i="5"/>
  <c r="P11" i="5"/>
  <c r="O11" i="5"/>
  <c r="S9" i="5"/>
  <c r="R9" i="5"/>
  <c r="Q9" i="5"/>
  <c r="P9" i="5"/>
  <c r="O9" i="5"/>
  <c r="S8" i="5"/>
  <c r="R8" i="5"/>
  <c r="Q8" i="5"/>
  <c r="S7" i="5"/>
  <c r="Q7" i="5"/>
  <c r="O7" i="5"/>
  <c r="E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C56" i="4"/>
  <c r="D56" i="4"/>
  <c r="F56" i="4" l="1"/>
  <c r="F56" i="7"/>
  <c r="G56" i="7" s="1"/>
  <c r="I12" i="5"/>
  <c r="H12" i="5"/>
  <c r="G12" i="5"/>
  <c r="F12" i="5"/>
  <c r="E12" i="5"/>
  <c r="S12" i="5"/>
  <c r="R12" i="5"/>
  <c r="P12" i="5"/>
  <c r="O12" i="5"/>
  <c r="N12" i="5"/>
  <c r="M12" i="5"/>
  <c r="L12" i="5"/>
  <c r="K12" i="5"/>
  <c r="J12" i="5"/>
  <c r="D12" i="5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Q12" i="5" l="1"/>
</calcChain>
</file>

<file path=xl/sharedStrings.xml><?xml version="1.0" encoding="utf-8"?>
<sst xmlns="http://schemas.openxmlformats.org/spreadsheetml/2006/main" count="377" uniqueCount="117">
  <si>
    <t>No</t>
  </si>
  <si>
    <t>Paket</t>
  </si>
  <si>
    <t>Pagu</t>
  </si>
  <si>
    <t>Badan Kepegawaian Daerah</t>
  </si>
  <si>
    <t>Biro Pengadaan Barang dan Jasa</t>
  </si>
  <si>
    <t>Dinas Penanaman Modal dan Pelayanan Terpadu Satu Pintu</t>
  </si>
  <si>
    <t>Dinas Pendidikan Dan Kebudayaan</t>
  </si>
  <si>
    <t>Inspektorat</t>
  </si>
  <si>
    <t>TOTAL</t>
  </si>
  <si>
    <t>REKAPITULASI PENCATATAN SWAKELOLA</t>
  </si>
  <si>
    <t>REKAPITULASI PENCATATAN NON TENDER</t>
  </si>
  <si>
    <t>Badan Kesatuan Bangsa Dan Politik Daerah</t>
  </si>
  <si>
    <t>Badan Penanggulangan Bencana Daerah</t>
  </si>
  <si>
    <t>Badan Pendapatan Daerah</t>
  </si>
  <si>
    <t>Badan Penelitian dan Pengembangan Daerah</t>
  </si>
  <si>
    <t>Badan Pengelolaan Keuangan Dan Aset Daerah</t>
  </si>
  <si>
    <t>Badan Pengembangan Sumber Daya Manusia Daerah</t>
  </si>
  <si>
    <t>Badan Penghubung</t>
  </si>
  <si>
    <t>Badan Perencanaan Pembangunan Daerah</t>
  </si>
  <si>
    <t>Biro Administrasi Pembangunan</t>
  </si>
  <si>
    <t>Biro Administrasi Pimpinan</t>
  </si>
  <si>
    <t>Biro Hukum</t>
  </si>
  <si>
    <t>Biro Kesejahteraan Rakyat</t>
  </si>
  <si>
    <t>Biro Organisasi</t>
  </si>
  <si>
    <t>Biro Pemerintahan dan Otonomi Daerah</t>
  </si>
  <si>
    <t>Biro Perekonomian</t>
  </si>
  <si>
    <t>Biro Umum</t>
  </si>
  <si>
    <t>Dinas Bina Marga dan Bina Konstruksi</t>
  </si>
  <si>
    <t>Dinas Energi dan Sumber Daya Mineral</t>
  </si>
  <si>
    <t>Dinas Kehutanan</t>
  </si>
  <si>
    <t>Dinas Kelautan dan Perikanan</t>
  </si>
  <si>
    <t>Dinas Kependudukan dan Pencatatan Sipil</t>
  </si>
  <si>
    <t>Dinas Kesehatan</t>
  </si>
  <si>
    <t>Dinas Komunikasi, Informatika dan Statistik</t>
  </si>
  <si>
    <t>Dinas Koperasi, Usaha Kecil dan Menengah</t>
  </si>
  <si>
    <t>Dinas Lingkungan Hidup</t>
  </si>
  <si>
    <t>Dinas Pariwisata Dan Ekonomi Kreatif</t>
  </si>
  <si>
    <t>Dinas Pemberdayaan Masyarakat, Desa dan Transmigrasi</t>
  </si>
  <si>
    <t>Dinas Pemberdayaan Perempuan dan Perlindungan Anak</t>
  </si>
  <si>
    <t>Dinas Pemuda dan Olahraga</t>
  </si>
  <si>
    <t>Dinas Pengelolaan Sumber Daya Air</t>
  </si>
  <si>
    <t>Dinas Perhubungan</t>
  </si>
  <si>
    <t>Dinas Perindustrian Dan Perdagangan</t>
  </si>
  <si>
    <t>Dinas Perkebunan</t>
  </si>
  <si>
    <t>Dinas Perpustakaan dan Kearsipan</t>
  </si>
  <si>
    <t>Dinas Perumahan, Kawasan Permukiman dan Cipta Karya</t>
  </si>
  <si>
    <t>Dinas Peternakan Dan Kesehatan Hewan</t>
  </si>
  <si>
    <t>Dinas Sosial</t>
  </si>
  <si>
    <t>Dinas Tenaga Kerja</t>
  </si>
  <si>
    <t>Rumah Sakit Jiwa</t>
  </si>
  <si>
    <t>Rumah Sakit Umum Daerah Bandar Negara Husada</t>
  </si>
  <si>
    <t>Rumah Sakit Umum Daerah dr Abdul Moeloek</t>
  </si>
  <si>
    <t>Satuan Polisi Pamong Praja</t>
  </si>
  <si>
    <t>Sekretariat DPRD</t>
  </si>
  <si>
    <t>NO</t>
  </si>
  <si>
    <t>PERANGKAT DAERAH</t>
  </si>
  <si>
    <t>JUMLAH PAKET</t>
  </si>
  <si>
    <t>SPPBJ</t>
  </si>
  <si>
    <t>Kontrak</t>
  </si>
  <si>
    <t>SPMK SPP</t>
  </si>
  <si>
    <t>BAP</t>
  </si>
  <si>
    <t>BAST</t>
  </si>
  <si>
    <t>Rumah Sakit Umum Daerah dr. Abdul Moeloek</t>
  </si>
  <si>
    <t>REKAPITULASI PROGRES KATALOG ELKETRONIK</t>
  </si>
  <si>
    <t>BULAN AGUSTUS 2026</t>
  </si>
  <si>
    <t>PAGU PERENCANAAN E PURCHASING</t>
  </si>
  <si>
    <t>s.d AGUSTUS 2026</t>
  </si>
  <si>
    <t>AGUSTUS 2026</t>
  </si>
  <si>
    <t>s.d JULI 2026</t>
  </si>
  <si>
    <t>(1) Nomor</t>
  </si>
  <si>
    <r>
      <rPr>
        <b/>
        <sz val="10"/>
        <color theme="1"/>
        <rFont val="Arial"/>
        <family val="2"/>
      </rPr>
      <t>Catatan</t>
    </r>
    <r>
      <rPr>
        <sz val="10"/>
        <color theme="1"/>
        <rFont val="Arial"/>
        <family val="2"/>
      </rPr>
      <t xml:space="preserve"> : Tabel ini merupakan Progres Pengadaan Barang dan Jasa yang dilakukan melalui Katalog Elektronik</t>
    </r>
  </si>
  <si>
    <t>(2) Daftar Perangkat Daerah</t>
  </si>
  <si>
    <t>(3) Pagu Perencanaan Pengadaan melalui E-Purchasing</t>
  </si>
  <si>
    <t>(5) Realisasi Pengadaan melalui Katalog Elektronik selama bulan Agustus 2026</t>
  </si>
  <si>
    <t>(4) Realisasi Pengadaan melalui Katalog Elektronik sampai bulan Juli 2026</t>
  </si>
  <si>
    <t>(7) Prosentase Realisasi Pengadaan melalui Katalog Elektronik sampai Bulan Agustus 2026</t>
  </si>
  <si>
    <t>(6) Nilai Realisasi  Pengadaan melalui Katalog Elektronik sampai Bulan Agustus 2026</t>
  </si>
  <si>
    <t>PERENCANAAN</t>
  </si>
  <si>
    <t>NILAI</t>
  </si>
  <si>
    <t>PROSENTASE</t>
  </si>
  <si>
    <t xml:space="preserve"> AGUSTUS 2026</t>
  </si>
  <si>
    <t>(2) Daftar Perangkat Daerah Provinsi Lampung</t>
  </si>
  <si>
    <t>(3) Pagu Perencanaan yang diperkirakan di proses secara manual</t>
  </si>
  <si>
    <t>Catatan : Tabel ini merupakan Progres Pengadaan Barang dan Jasa yang dilakukan melalui Pengadaan Langsung, Penunjukan Langsung dan Dikecualikan secara MANUAL (Non transaksional di Sistem Pengadaan Secara Elektronik)</t>
  </si>
  <si>
    <t>(4) Realisasi Pencatatan Non Tender sampai Bulan Juli 2026</t>
  </si>
  <si>
    <t>(5) Realisasi Pencatatan Non Tender Bulan Agustus 2026</t>
  </si>
  <si>
    <t>(6) Nilai realisasi Pencatatan Non Tender sampai Bulan Agustus 2026</t>
  </si>
  <si>
    <t>(7) Prosentase Realisasi Pencatatan Non Tender sampai Bulan Agustus 2026</t>
  </si>
  <si>
    <t>Dinas Ketahanan Pangan, Tanaman Pangan dan Hortikultura</t>
  </si>
  <si>
    <t>(3) Pagu Perencanaan yang dilakukan secara swakelola</t>
  </si>
  <si>
    <t>(4) Realisasi Pencatatan Swakelola sampai Bulan Juli 2026</t>
  </si>
  <si>
    <t>(5) Realisasi Pencatatan Swakelola Bulan Agustus 2026</t>
  </si>
  <si>
    <t>(6) Nilai realisasi Pencatatan Swakelola sampai Bulan Agustus 2026</t>
  </si>
  <si>
    <t>(7) Prosentase Realisasi Pencatatan Swakelola sampai Bulan Agustus 2026</t>
  </si>
  <si>
    <t>REKAPITULASI PROGRES LOKA PASAR MBIZ MARKET</t>
  </si>
  <si>
    <r>
      <rPr>
        <b/>
        <sz val="10"/>
        <color theme="1"/>
        <rFont val="Arial"/>
        <family val="2"/>
      </rPr>
      <t>Catatan</t>
    </r>
    <r>
      <rPr>
        <sz val="10"/>
        <color theme="1"/>
        <rFont val="Arial"/>
        <family val="2"/>
      </rPr>
      <t xml:space="preserve"> : Tabel ini merupakan Progres Pengadaan Barang dan Jasa yang dilakukan melalui Loka Pasar Mbiz Market</t>
    </r>
  </si>
  <si>
    <t>(4) Realisasi Pengadaan melalui Loka Pasar  sampai bulan Juli 2026</t>
  </si>
  <si>
    <t>(5) Realisasi Pengadaan melalui Loka Pasar selama bulan Agustus 2026</t>
  </si>
  <si>
    <t>(6) Nilai Realisasi  Pengadaan melalui Loka Pasar sampai Bulan Agustus 2026</t>
  </si>
  <si>
    <t>(7) Prosentase Realisasi Pengadaan melalui Loka Pasar sampai Bulan Agustus 2026</t>
  </si>
  <si>
    <r>
      <rPr>
        <b/>
        <sz val="11"/>
        <rFont val="Calibri"/>
        <family val="2"/>
      </rPr>
      <t>Catatan</t>
    </r>
    <r>
      <rPr>
        <sz val="11"/>
        <rFont val="Calibri"/>
        <family val="2"/>
      </rPr>
      <t xml:space="preserve"> : Tabel ini merupakan Progres Pengadaan Barang dan Jasa yang dilakukan Secara SWAKELOLA</t>
    </r>
  </si>
  <si>
    <t>Satuan Kerja</t>
  </si>
  <si>
    <t>Belanja Pengadaan</t>
  </si>
  <si>
    <t>Penyedia</t>
  </si>
  <si>
    <t>Swakelola</t>
  </si>
  <si>
    <t>Total</t>
  </si>
  <si>
    <t>%</t>
  </si>
  <si>
    <t xml:space="preserve"> RENCANA UMUM PENGADAAN PROVINSI LAMPUNG TAHUN 2026</t>
  </si>
  <si>
    <t>REKAPITULASI PROGRES E KONTRAK TENDER</t>
  </si>
  <si>
    <r>
      <rPr>
        <b/>
        <sz val="11"/>
        <color theme="1"/>
        <rFont val="Calibri"/>
        <family val="2"/>
        <scheme val="minor"/>
      </rPr>
      <t>catatan</t>
    </r>
    <r>
      <rPr>
        <sz val="11"/>
        <color theme="1"/>
        <rFont val="Calibri"/>
        <family val="2"/>
        <scheme val="minor"/>
      </rPr>
      <t xml:space="preserve"> : Tabel ini merupakan Proses Pengadaan Barang dan jasa yang dilakukan melalui Tender serta Seleksi, dan di input dalam E-Kontrak</t>
    </r>
  </si>
  <si>
    <t>PAKET PERENCANAAN</t>
  </si>
  <si>
    <t>(3) Paket Perencanaan dengan Metode Tender dan Seleksi</t>
  </si>
  <si>
    <t>(4) Jumlah Paket proses pengadaan barang dan jasa melalui seperti diatas</t>
  </si>
  <si>
    <t>(5) Progres Penginputan E-Kontrak sampai Bulan Juli 2026</t>
  </si>
  <si>
    <t>(6) Progres Penginputan E-Kontrak Bulan Agustus 2026</t>
  </si>
  <si>
    <t>(7) Progres Penginputan E-Kontrak sampai Bulan Agustus 2026</t>
  </si>
  <si>
    <t>(2) Daftar Perangkat Daerah yang melakukan proses pengadaan barang dan jasa melalui Tender dan Seleksi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</si>
</sst>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#,##0_ ;[Red]\-#,##0\ "/>
    <numFmt numFmtId="165" formatCode="#,##0;[Red]#,##0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Roboto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4" xfId="0" applyFont="1" applyBorder="1" applyAlignment="1">
      <alignment wrapText="1"/>
    </xf>
    <xf numFmtId="0" fontId="3" fillId="0" borderId="1" xfId="0" applyFont="1" applyBorder="1"/>
    <xf numFmtId="0" fontId="11" fillId="0" borderId="5" xfId="0" applyFont="1" applyBorder="1" applyAlignment="1">
      <alignment wrapText="1"/>
    </xf>
    <xf numFmtId="0" fontId="3" fillId="0" borderId="0" xfId="0" applyFont="1"/>
    <xf numFmtId="0" fontId="7" fillId="0" borderId="9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7" fillId="0" borderId="0" xfId="0" applyFont="1" applyAlignment="1">
      <alignment wrapText="1"/>
    </xf>
    <xf numFmtId="4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vertical="top" wrapText="1"/>
    </xf>
    <xf numFmtId="10" fontId="4" fillId="2" borderId="1" xfId="0" applyNumberFormat="1" applyFont="1" applyFill="1" applyBorder="1" applyAlignment="1">
      <alignment horizontal="right" vertical="top" wrapText="1"/>
    </xf>
    <xf numFmtId="0" fontId="7" fillId="0" borderId="4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0" fontId="4" fillId="0" borderId="1" xfId="0" applyNumberFormat="1" applyFont="1" applyBorder="1" applyAlignment="1">
      <alignment horizontal="right" vertical="top" wrapText="1"/>
    </xf>
    <xf numFmtId="0" fontId="9" fillId="0" borderId="1" xfId="0" applyFont="1" applyBorder="1" applyAlignment="1">
      <alignment vertical="top" wrapText="1"/>
    </xf>
    <xf numFmtId="10" fontId="9" fillId="0" borderId="1" xfId="0" applyNumberFormat="1" applyFont="1" applyBorder="1" applyAlignment="1">
      <alignment horizontal="right" vertical="top" wrapText="1"/>
    </xf>
    <xf numFmtId="0" fontId="10" fillId="0" borderId="1" xfId="0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164" fontId="9" fillId="0" borderId="1" xfId="0" applyNumberFormat="1" applyFont="1" applyBorder="1" applyAlignment="1">
      <alignment horizontal="right" vertical="top" wrapText="1"/>
    </xf>
    <xf numFmtId="164" fontId="10" fillId="0" borderId="1" xfId="0" applyNumberFormat="1" applyFont="1" applyBorder="1" applyAlignment="1">
      <alignment horizontal="right" vertical="center" wrapText="1"/>
    </xf>
    <xf numFmtId="0" fontId="11" fillId="0" borderId="11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3" fillId="0" borderId="1" xfId="0" applyFont="1" applyBorder="1"/>
    <xf numFmtId="10" fontId="1" fillId="0" borderId="1" xfId="0" applyNumberFormat="1" applyFont="1" applyBorder="1" applyAlignment="1">
      <alignment horizontal="right" vertical="center" wrapText="1"/>
    </xf>
    <xf numFmtId="41" fontId="0" fillId="0" borderId="0" xfId="1" applyFont="1" applyAlignment="1">
      <alignment vertical="top"/>
    </xf>
    <xf numFmtId="41" fontId="0" fillId="0" borderId="1" xfId="1" applyFont="1" applyBorder="1" applyAlignment="1">
      <alignment horizontal="right" vertical="top"/>
    </xf>
    <xf numFmtId="41" fontId="1" fillId="0" borderId="1" xfId="1" applyFont="1" applyBorder="1" applyAlignment="1">
      <alignment horizontal="right" vertical="center"/>
    </xf>
    <xf numFmtId="1" fontId="0" fillId="0" borderId="1" xfId="1" applyNumberFormat="1" applyFont="1" applyBorder="1" applyAlignment="1">
      <alignment horizontal="right" vertical="top"/>
    </xf>
    <xf numFmtId="10" fontId="0" fillId="0" borderId="1" xfId="0" applyNumberFormat="1" applyBorder="1" applyAlignment="1">
      <alignment vertical="top"/>
    </xf>
    <xf numFmtId="10" fontId="3" fillId="0" borderId="1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41" fontId="7" fillId="0" borderId="5" xfId="1" applyFont="1" applyBorder="1" applyAlignment="1">
      <alignment wrapText="1"/>
    </xf>
    <xf numFmtId="164" fontId="1" fillId="0" borderId="1" xfId="0" applyNumberFormat="1" applyFont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 wrapText="1"/>
    </xf>
    <xf numFmtId="41" fontId="0" fillId="0" borderId="1" xfId="1" applyFont="1" applyBorder="1" applyAlignment="1">
      <alignment vertical="top" wrapText="1"/>
    </xf>
    <xf numFmtId="3" fontId="0" fillId="0" borderId="1" xfId="0" applyNumberFormat="1" applyBorder="1" applyAlignment="1">
      <alignment horizontal="center" vertical="top"/>
    </xf>
    <xf numFmtId="3" fontId="0" fillId="0" borderId="1" xfId="0" applyNumberFormat="1" applyBorder="1" applyAlignment="1">
      <alignment horizontal="right" vertical="top"/>
    </xf>
    <xf numFmtId="10" fontId="0" fillId="0" borderId="1" xfId="0" applyNumberFormat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1" fontId="3" fillId="0" borderId="1" xfId="0" applyNumberFormat="1" applyFont="1" applyBorder="1" applyAlignment="1">
      <alignment horizontal="right" vertical="top"/>
    </xf>
    <xf numFmtId="3" fontId="3" fillId="0" borderId="1" xfId="0" applyNumberFormat="1" applyFont="1" applyBorder="1" applyAlignment="1">
      <alignment horizontal="right" vertical="top"/>
    </xf>
    <xf numFmtId="10" fontId="3" fillId="0" borderId="1" xfId="0" applyNumberFormat="1" applyFont="1" applyBorder="1" applyAlignment="1">
      <alignment horizontal="center" vertical="top"/>
    </xf>
    <xf numFmtId="9" fontId="0" fillId="0" borderId="1" xfId="0" applyNumberFormat="1" applyBorder="1" applyAlignment="1">
      <alignment vertical="top"/>
    </xf>
    <xf numFmtId="9" fontId="3" fillId="0" borderId="1" xfId="0" applyNumberFormat="1" applyFont="1" applyBorder="1" applyAlignment="1">
      <alignment vertical="top"/>
    </xf>
    <xf numFmtId="165" fontId="0" fillId="0" borderId="1" xfId="0" applyNumberForma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0" fillId="0" borderId="0" xfId="0"/>
    <xf numFmtId="0" fontId="13" fillId="3" borderId="1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8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C55" sqref="C55"/>
    </sheetView>
  </sheetViews>
  <sheetFormatPr defaultRowHeight="14.4" x14ac:dyDescent="0.3"/>
  <cols>
    <col min="1" max="1" width="4.5546875" customWidth="1"/>
    <col min="2" max="2" width="32.44140625" customWidth="1"/>
    <col min="3" max="3" width="18.109375" customWidth="1"/>
    <col min="4" max="4" width="6.33203125" customWidth="1"/>
    <col min="5" max="5" width="17.5546875" customWidth="1"/>
    <col min="6" max="6" width="8.33203125" style="1" customWidth="1"/>
    <col min="7" max="7" width="6.109375" customWidth="1"/>
    <col min="8" max="8" width="16.44140625" customWidth="1"/>
    <col min="9" max="9" width="8.33203125" style="1" customWidth="1"/>
    <col min="10" max="10" width="6" customWidth="1"/>
    <col min="11" max="11" width="16.6640625" customWidth="1"/>
    <col min="12" max="12" width="7.44140625" customWidth="1"/>
  </cols>
  <sheetData>
    <row r="1" spans="1:12" ht="18" x14ac:dyDescent="0.3">
      <c r="A1" s="76" t="s">
        <v>107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2" ht="18" x14ac:dyDescent="0.3">
      <c r="A2" s="76" t="s">
        <v>64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4" spans="1:12" x14ac:dyDescent="0.3">
      <c r="A4" s="81" t="s">
        <v>0</v>
      </c>
      <c r="B4" s="81" t="s">
        <v>101</v>
      </c>
      <c r="C4" s="82" t="s">
        <v>102</v>
      </c>
      <c r="D4" s="77" t="s">
        <v>103</v>
      </c>
      <c r="E4" s="78"/>
      <c r="F4" s="79"/>
      <c r="G4" s="77" t="s">
        <v>104</v>
      </c>
      <c r="H4" s="78"/>
      <c r="I4" s="79"/>
      <c r="J4" s="77" t="s">
        <v>105</v>
      </c>
      <c r="K4" s="78"/>
      <c r="L4" s="79"/>
    </row>
    <row r="5" spans="1:12" x14ac:dyDescent="0.3">
      <c r="A5" s="81"/>
      <c r="B5" s="81"/>
      <c r="C5" s="83"/>
      <c r="D5" s="57" t="s">
        <v>1</v>
      </c>
      <c r="E5" s="57" t="s">
        <v>2</v>
      </c>
      <c r="F5" s="57" t="s">
        <v>106</v>
      </c>
      <c r="G5" s="57" t="s">
        <v>1</v>
      </c>
      <c r="H5" s="57" t="s">
        <v>2</v>
      </c>
      <c r="I5" s="57" t="s">
        <v>106</v>
      </c>
      <c r="J5" s="57" t="s">
        <v>1</v>
      </c>
      <c r="K5" s="57" t="s">
        <v>2</v>
      </c>
      <c r="L5" s="57" t="s">
        <v>106</v>
      </c>
    </row>
    <row r="6" spans="1:12" x14ac:dyDescent="0.3">
      <c r="A6" s="54">
        <v>1</v>
      </c>
      <c r="B6" s="29" t="s">
        <v>3</v>
      </c>
      <c r="C6" s="53">
        <v>2536022469</v>
      </c>
      <c r="D6" s="54">
        <v>55</v>
      </c>
      <c r="E6" s="55">
        <v>971112490</v>
      </c>
      <c r="F6" s="56">
        <f>E6/C6</f>
        <v>0.3829273998439483</v>
      </c>
      <c r="G6" s="54">
        <v>13</v>
      </c>
      <c r="H6" s="55">
        <v>1564909979</v>
      </c>
      <c r="I6" s="56">
        <f>H6/C6</f>
        <v>0.6170726001560517</v>
      </c>
      <c r="J6" s="54">
        <f>G6+D6</f>
        <v>68</v>
      </c>
      <c r="K6" s="55">
        <f>H6+E6</f>
        <v>2536022469</v>
      </c>
      <c r="L6" s="63">
        <f t="shared" ref="L6:L55" si="0">K6/C6</f>
        <v>1</v>
      </c>
    </row>
    <row r="7" spans="1:12" ht="16.5" customHeight="1" x14ac:dyDescent="0.3">
      <c r="A7" s="54">
        <v>2</v>
      </c>
      <c r="B7" s="29" t="s">
        <v>11</v>
      </c>
      <c r="C7" s="53">
        <v>2707090950</v>
      </c>
      <c r="D7" s="54">
        <v>49</v>
      </c>
      <c r="E7" s="55">
        <v>1558860950</v>
      </c>
      <c r="F7" s="56">
        <f t="shared" ref="F7:F55" si="1">E7/C7</f>
        <v>0.57584358220398912</v>
      </c>
      <c r="G7" s="54">
        <v>16</v>
      </c>
      <c r="H7" s="55">
        <v>1148230000</v>
      </c>
      <c r="I7" s="56">
        <f t="shared" ref="I7:I55" si="2">H7/C7</f>
        <v>0.42415641779601088</v>
      </c>
      <c r="J7" s="54">
        <f t="shared" ref="J7:K54" si="3">G7+D7</f>
        <v>65</v>
      </c>
      <c r="K7" s="55">
        <f t="shared" si="3"/>
        <v>2707090950</v>
      </c>
      <c r="L7" s="63">
        <f t="shared" si="0"/>
        <v>1</v>
      </c>
    </row>
    <row r="8" spans="1:12" ht="28.8" x14ac:dyDescent="0.3">
      <c r="A8" s="54">
        <v>3</v>
      </c>
      <c r="B8" s="29" t="s">
        <v>12</v>
      </c>
      <c r="C8" s="53">
        <v>43912694337</v>
      </c>
      <c r="D8" s="54">
        <v>130</v>
      </c>
      <c r="E8" s="55">
        <v>34716507978</v>
      </c>
      <c r="F8" s="56">
        <f t="shared" si="1"/>
        <v>0.79058022975257369</v>
      </c>
      <c r="G8" s="54">
        <v>36</v>
      </c>
      <c r="H8" s="55">
        <v>9196186359</v>
      </c>
      <c r="I8" s="56">
        <f t="shared" si="2"/>
        <v>0.20941977024742633</v>
      </c>
      <c r="J8" s="54">
        <f t="shared" si="3"/>
        <v>166</v>
      </c>
      <c r="K8" s="55">
        <f t="shared" si="3"/>
        <v>43912694337</v>
      </c>
      <c r="L8" s="63">
        <f t="shared" si="0"/>
        <v>1</v>
      </c>
    </row>
    <row r="9" spans="1:12" x14ac:dyDescent="0.3">
      <c r="A9" s="54">
        <v>4</v>
      </c>
      <c r="B9" s="29" t="s">
        <v>13</v>
      </c>
      <c r="C9" s="53">
        <v>14997642988</v>
      </c>
      <c r="D9" s="54">
        <v>116</v>
      </c>
      <c r="E9" s="55">
        <v>13526199988</v>
      </c>
      <c r="F9" s="56">
        <f t="shared" si="1"/>
        <v>0.90188838331614241</v>
      </c>
      <c r="G9" s="54">
        <v>29</v>
      </c>
      <c r="H9" s="55">
        <v>1471443000</v>
      </c>
      <c r="I9" s="56">
        <f t="shared" si="2"/>
        <v>9.8111616683857553E-2</v>
      </c>
      <c r="J9" s="54">
        <f t="shared" si="3"/>
        <v>145</v>
      </c>
      <c r="K9" s="55">
        <f t="shared" si="3"/>
        <v>14997642988</v>
      </c>
      <c r="L9" s="63">
        <f t="shared" si="0"/>
        <v>1</v>
      </c>
    </row>
    <row r="10" spans="1:12" ht="28.8" x14ac:dyDescent="0.3">
      <c r="A10" s="54">
        <v>5</v>
      </c>
      <c r="B10" s="29" t="s">
        <v>14</v>
      </c>
      <c r="C10" s="53">
        <v>716954044</v>
      </c>
      <c r="D10" s="54">
        <v>36</v>
      </c>
      <c r="E10" s="55">
        <v>511634044</v>
      </c>
      <c r="F10" s="56">
        <f t="shared" si="1"/>
        <v>0.7136218119999892</v>
      </c>
      <c r="G10" s="54">
        <v>8</v>
      </c>
      <c r="H10" s="55">
        <v>205320000</v>
      </c>
      <c r="I10" s="56">
        <f t="shared" si="2"/>
        <v>0.2863781880000108</v>
      </c>
      <c r="J10" s="54">
        <f t="shared" si="3"/>
        <v>44</v>
      </c>
      <c r="K10" s="55">
        <f t="shared" si="3"/>
        <v>716954044</v>
      </c>
      <c r="L10" s="63">
        <f t="shared" si="0"/>
        <v>1</v>
      </c>
    </row>
    <row r="11" spans="1:12" ht="28.8" x14ac:dyDescent="0.3">
      <c r="A11" s="54">
        <v>6</v>
      </c>
      <c r="B11" s="29" t="s">
        <v>15</v>
      </c>
      <c r="C11" s="53">
        <v>27035515430</v>
      </c>
      <c r="D11" s="54">
        <v>293</v>
      </c>
      <c r="E11" s="55">
        <v>14131110430</v>
      </c>
      <c r="F11" s="56">
        <f t="shared" si="1"/>
        <v>0.52268692515177251</v>
      </c>
      <c r="G11" s="54">
        <v>37</v>
      </c>
      <c r="H11" s="55">
        <v>12904405000</v>
      </c>
      <c r="I11" s="56">
        <f t="shared" si="2"/>
        <v>0.47731307484822749</v>
      </c>
      <c r="J11" s="54">
        <f t="shared" si="3"/>
        <v>330</v>
      </c>
      <c r="K11" s="55">
        <f t="shared" si="3"/>
        <v>27035515430</v>
      </c>
      <c r="L11" s="63">
        <f t="shared" si="0"/>
        <v>1</v>
      </c>
    </row>
    <row r="12" spans="1:12" ht="28.8" x14ac:dyDescent="0.3">
      <c r="A12" s="54">
        <v>7</v>
      </c>
      <c r="B12" s="29" t="s">
        <v>16</v>
      </c>
      <c r="C12" s="53">
        <v>9225419833</v>
      </c>
      <c r="D12" s="54">
        <v>45</v>
      </c>
      <c r="E12" s="55">
        <v>5539592833</v>
      </c>
      <c r="F12" s="56">
        <f t="shared" si="1"/>
        <v>0.600470540450037</v>
      </c>
      <c r="G12" s="54">
        <v>15</v>
      </c>
      <c r="H12" s="55">
        <v>3685827000</v>
      </c>
      <c r="I12" s="56">
        <f t="shared" si="2"/>
        <v>0.399529459549963</v>
      </c>
      <c r="J12" s="54">
        <f t="shared" si="3"/>
        <v>60</v>
      </c>
      <c r="K12" s="55">
        <f t="shared" si="3"/>
        <v>9225419833</v>
      </c>
      <c r="L12" s="63">
        <f t="shared" si="0"/>
        <v>1</v>
      </c>
    </row>
    <row r="13" spans="1:12" x14ac:dyDescent="0.3">
      <c r="A13" s="54">
        <v>8</v>
      </c>
      <c r="B13" s="29" t="s">
        <v>17</v>
      </c>
      <c r="C13" s="53">
        <v>8046372200</v>
      </c>
      <c r="D13" s="54">
        <v>93</v>
      </c>
      <c r="E13" s="55">
        <v>5247449200</v>
      </c>
      <c r="F13" s="56">
        <f t="shared" si="1"/>
        <v>0.65215094076806435</v>
      </c>
      <c r="G13" s="54">
        <v>9</v>
      </c>
      <c r="H13" s="55">
        <v>2798923000</v>
      </c>
      <c r="I13" s="56">
        <f t="shared" si="2"/>
        <v>0.3478490592319356</v>
      </c>
      <c r="J13" s="54">
        <f t="shared" si="3"/>
        <v>102</v>
      </c>
      <c r="K13" s="55">
        <f t="shared" si="3"/>
        <v>8046372200</v>
      </c>
      <c r="L13" s="63">
        <f t="shared" si="0"/>
        <v>1</v>
      </c>
    </row>
    <row r="14" spans="1:12" ht="15" customHeight="1" x14ac:dyDescent="0.3">
      <c r="A14" s="54">
        <v>9</v>
      </c>
      <c r="B14" s="29" t="s">
        <v>18</v>
      </c>
      <c r="C14" s="53">
        <v>7638002979</v>
      </c>
      <c r="D14" s="54">
        <v>178</v>
      </c>
      <c r="E14" s="55">
        <v>5408490839</v>
      </c>
      <c r="F14" s="56">
        <f t="shared" si="1"/>
        <v>0.70810274018878461</v>
      </c>
      <c r="G14" s="54">
        <v>93</v>
      </c>
      <c r="H14" s="55">
        <v>2229512140</v>
      </c>
      <c r="I14" s="56">
        <f t="shared" si="2"/>
        <v>0.29189725981121539</v>
      </c>
      <c r="J14" s="54">
        <f t="shared" si="3"/>
        <v>271</v>
      </c>
      <c r="K14" s="55">
        <f t="shared" si="3"/>
        <v>7638002979</v>
      </c>
      <c r="L14" s="63">
        <f t="shared" si="0"/>
        <v>1</v>
      </c>
    </row>
    <row r="15" spans="1:12" x14ac:dyDescent="0.3">
      <c r="A15" s="54">
        <v>10</v>
      </c>
      <c r="B15" s="29" t="s">
        <v>19</v>
      </c>
      <c r="C15" s="53">
        <v>1027333000</v>
      </c>
      <c r="D15" s="54">
        <v>25</v>
      </c>
      <c r="E15" s="55">
        <v>274343200</v>
      </c>
      <c r="F15" s="56">
        <f t="shared" si="1"/>
        <v>0.26704408405064378</v>
      </c>
      <c r="G15" s="54">
        <v>15</v>
      </c>
      <c r="H15" s="55">
        <v>752989800</v>
      </c>
      <c r="I15" s="56">
        <f t="shared" si="2"/>
        <v>0.73295591594935627</v>
      </c>
      <c r="J15" s="54">
        <f t="shared" si="3"/>
        <v>40</v>
      </c>
      <c r="K15" s="55">
        <f t="shared" si="3"/>
        <v>1027333000</v>
      </c>
      <c r="L15" s="63">
        <f t="shared" si="0"/>
        <v>1</v>
      </c>
    </row>
    <row r="16" spans="1:12" x14ac:dyDescent="0.3">
      <c r="A16" s="54">
        <v>11</v>
      </c>
      <c r="B16" s="29" t="s">
        <v>20</v>
      </c>
      <c r="C16" s="53">
        <v>2960928000</v>
      </c>
      <c r="D16" s="54">
        <v>9</v>
      </c>
      <c r="E16" s="55">
        <v>288987000</v>
      </c>
      <c r="F16" s="56">
        <f t="shared" si="1"/>
        <v>9.7600144279090875E-2</v>
      </c>
      <c r="G16" s="54">
        <v>6</v>
      </c>
      <c r="H16" s="55">
        <v>2671941000</v>
      </c>
      <c r="I16" s="56">
        <f t="shared" si="2"/>
        <v>0.90239985572090908</v>
      </c>
      <c r="J16" s="54">
        <f t="shared" si="3"/>
        <v>15</v>
      </c>
      <c r="K16" s="55">
        <f t="shared" si="3"/>
        <v>2960928000</v>
      </c>
      <c r="L16" s="63">
        <f t="shared" si="0"/>
        <v>1</v>
      </c>
    </row>
    <row r="17" spans="1:12" x14ac:dyDescent="0.3">
      <c r="A17" s="54">
        <v>12</v>
      </c>
      <c r="B17" s="29" t="s">
        <v>21</v>
      </c>
      <c r="C17" s="53">
        <v>1110476000</v>
      </c>
      <c r="D17" s="54">
        <v>16</v>
      </c>
      <c r="E17" s="55">
        <v>328213600</v>
      </c>
      <c r="F17" s="56">
        <f t="shared" si="1"/>
        <v>0.29556118277207249</v>
      </c>
      <c r="G17" s="54">
        <v>8</v>
      </c>
      <c r="H17" s="55">
        <v>782262400</v>
      </c>
      <c r="I17" s="56">
        <f t="shared" si="2"/>
        <v>0.70443881722792745</v>
      </c>
      <c r="J17" s="54">
        <f t="shared" si="3"/>
        <v>24</v>
      </c>
      <c r="K17" s="55">
        <f t="shared" si="3"/>
        <v>1110476000</v>
      </c>
      <c r="L17" s="63">
        <f t="shared" si="0"/>
        <v>1</v>
      </c>
    </row>
    <row r="18" spans="1:12" x14ac:dyDescent="0.3">
      <c r="A18" s="54">
        <v>13</v>
      </c>
      <c r="B18" s="29" t="s">
        <v>22</v>
      </c>
      <c r="C18" s="53">
        <v>62063666800</v>
      </c>
      <c r="D18" s="54">
        <v>53</v>
      </c>
      <c r="E18" s="55">
        <v>48019823000</v>
      </c>
      <c r="F18" s="56">
        <f t="shared" si="1"/>
        <v>0.77371875488349329</v>
      </c>
      <c r="G18" s="54">
        <v>32</v>
      </c>
      <c r="H18" s="55">
        <v>14043843800</v>
      </c>
      <c r="I18" s="56">
        <f t="shared" si="2"/>
        <v>0.22628124511650671</v>
      </c>
      <c r="J18" s="54">
        <f t="shared" si="3"/>
        <v>85</v>
      </c>
      <c r="K18" s="55">
        <f t="shared" si="3"/>
        <v>62063666800</v>
      </c>
      <c r="L18" s="63">
        <f t="shared" si="0"/>
        <v>1</v>
      </c>
    </row>
    <row r="19" spans="1:12" x14ac:dyDescent="0.3">
      <c r="A19" s="54">
        <v>14</v>
      </c>
      <c r="B19" s="29" t="s">
        <v>23</v>
      </c>
      <c r="C19" s="53">
        <v>1044541000</v>
      </c>
      <c r="D19" s="54">
        <v>58</v>
      </c>
      <c r="E19" s="55">
        <v>374849600</v>
      </c>
      <c r="F19" s="56">
        <f t="shared" si="1"/>
        <v>0.35886537723267925</v>
      </c>
      <c r="G19" s="54">
        <v>12</v>
      </c>
      <c r="H19" s="55">
        <v>669691400</v>
      </c>
      <c r="I19" s="56">
        <f t="shared" si="2"/>
        <v>0.64113462276732081</v>
      </c>
      <c r="J19" s="54">
        <f t="shared" si="3"/>
        <v>70</v>
      </c>
      <c r="K19" s="55">
        <f t="shared" si="3"/>
        <v>1044541000</v>
      </c>
      <c r="L19" s="63">
        <f t="shared" si="0"/>
        <v>1</v>
      </c>
    </row>
    <row r="20" spans="1:12" ht="28.8" x14ac:dyDescent="0.3">
      <c r="A20" s="54">
        <v>15</v>
      </c>
      <c r="B20" s="29" t="s">
        <v>24</v>
      </c>
      <c r="C20" s="53">
        <v>1175843000</v>
      </c>
      <c r="D20" s="54">
        <v>43</v>
      </c>
      <c r="E20" s="55">
        <v>1175843000</v>
      </c>
      <c r="F20" s="56">
        <f t="shared" si="1"/>
        <v>1</v>
      </c>
      <c r="G20" s="54">
        <v>0</v>
      </c>
      <c r="H20" s="55">
        <v>0</v>
      </c>
      <c r="I20" s="56">
        <f t="shared" si="2"/>
        <v>0</v>
      </c>
      <c r="J20" s="54">
        <f t="shared" si="3"/>
        <v>43</v>
      </c>
      <c r="K20" s="55">
        <f t="shared" si="3"/>
        <v>1175843000</v>
      </c>
      <c r="L20" s="63">
        <f t="shared" si="0"/>
        <v>1</v>
      </c>
    </row>
    <row r="21" spans="1:12" x14ac:dyDescent="0.3">
      <c r="A21" s="54">
        <v>16</v>
      </c>
      <c r="B21" s="29" t="s">
        <v>4</v>
      </c>
      <c r="C21" s="53">
        <v>1133322000</v>
      </c>
      <c r="D21" s="54">
        <v>21</v>
      </c>
      <c r="E21" s="55">
        <v>366049000</v>
      </c>
      <c r="F21" s="56">
        <f t="shared" si="1"/>
        <v>0.32298764164112231</v>
      </c>
      <c r="G21" s="54">
        <v>25</v>
      </c>
      <c r="H21" s="55">
        <v>767273000</v>
      </c>
      <c r="I21" s="56">
        <f t="shared" si="2"/>
        <v>0.67701235835887774</v>
      </c>
      <c r="J21" s="54">
        <f t="shared" si="3"/>
        <v>46</v>
      </c>
      <c r="K21" s="55">
        <f t="shared" si="3"/>
        <v>1133322000</v>
      </c>
      <c r="L21" s="63">
        <f t="shared" si="0"/>
        <v>1</v>
      </c>
    </row>
    <row r="22" spans="1:12" x14ac:dyDescent="0.3">
      <c r="A22" s="54">
        <v>17</v>
      </c>
      <c r="B22" s="29" t="s">
        <v>25</v>
      </c>
      <c r="C22" s="53">
        <v>883301000</v>
      </c>
      <c r="D22" s="54">
        <v>35</v>
      </c>
      <c r="E22" s="55">
        <v>566792000</v>
      </c>
      <c r="F22" s="56">
        <f t="shared" si="1"/>
        <v>0.64167480847412151</v>
      </c>
      <c r="G22" s="54">
        <v>3</v>
      </c>
      <c r="H22" s="55">
        <v>316509000</v>
      </c>
      <c r="I22" s="56">
        <f t="shared" si="2"/>
        <v>0.35832519152587849</v>
      </c>
      <c r="J22" s="54">
        <f t="shared" si="3"/>
        <v>38</v>
      </c>
      <c r="K22" s="55">
        <f t="shared" si="3"/>
        <v>883301000</v>
      </c>
      <c r="L22" s="63">
        <f t="shared" si="0"/>
        <v>1</v>
      </c>
    </row>
    <row r="23" spans="1:12" x14ac:dyDescent="0.3">
      <c r="A23" s="54">
        <v>18</v>
      </c>
      <c r="B23" s="29" t="s">
        <v>26</v>
      </c>
      <c r="C23" s="53">
        <v>68377891000</v>
      </c>
      <c r="D23" s="54">
        <v>249</v>
      </c>
      <c r="E23" s="55">
        <v>55527447000</v>
      </c>
      <c r="F23" s="56">
        <f t="shared" si="1"/>
        <v>0.81206726601146562</v>
      </c>
      <c r="G23" s="54">
        <v>29</v>
      </c>
      <c r="H23" s="55">
        <v>12850444000</v>
      </c>
      <c r="I23" s="56">
        <f t="shared" si="2"/>
        <v>0.18793273398853438</v>
      </c>
      <c r="J23" s="54">
        <f t="shared" si="3"/>
        <v>278</v>
      </c>
      <c r="K23" s="55">
        <f t="shared" si="3"/>
        <v>68377891000</v>
      </c>
      <c r="L23" s="63">
        <f t="shared" si="0"/>
        <v>1</v>
      </c>
    </row>
    <row r="24" spans="1:12" x14ac:dyDescent="0.3">
      <c r="A24" s="54">
        <v>19</v>
      </c>
      <c r="B24" s="29" t="s">
        <v>27</v>
      </c>
      <c r="C24" s="53">
        <v>1589926895590</v>
      </c>
      <c r="D24" s="54">
        <v>883</v>
      </c>
      <c r="E24" s="55">
        <v>1399859158900</v>
      </c>
      <c r="F24" s="56">
        <f t="shared" si="1"/>
        <v>0.88045504657025853</v>
      </c>
      <c r="G24" s="54">
        <v>194</v>
      </c>
      <c r="H24" s="55">
        <v>190067736690</v>
      </c>
      <c r="I24" s="56">
        <f t="shared" si="2"/>
        <v>0.11954495342974149</v>
      </c>
      <c r="J24" s="54">
        <f t="shared" si="3"/>
        <v>1077</v>
      </c>
      <c r="K24" s="55">
        <f t="shared" si="3"/>
        <v>1589926895590</v>
      </c>
      <c r="L24" s="63">
        <f t="shared" si="0"/>
        <v>1</v>
      </c>
    </row>
    <row r="25" spans="1:12" ht="28.8" x14ac:dyDescent="0.3">
      <c r="A25" s="54">
        <v>20</v>
      </c>
      <c r="B25" s="29" t="s">
        <v>28</v>
      </c>
      <c r="C25" s="53">
        <v>3663213785</v>
      </c>
      <c r="D25" s="54">
        <v>72</v>
      </c>
      <c r="E25" s="55">
        <v>2139090929</v>
      </c>
      <c r="F25" s="56">
        <f t="shared" si="1"/>
        <v>0.58393832698464798</v>
      </c>
      <c r="G25" s="54">
        <v>28</v>
      </c>
      <c r="H25" s="55">
        <v>1524122856</v>
      </c>
      <c r="I25" s="56">
        <f t="shared" si="2"/>
        <v>0.41606167301535202</v>
      </c>
      <c r="J25" s="54">
        <f t="shared" si="3"/>
        <v>100</v>
      </c>
      <c r="K25" s="55">
        <f t="shared" si="3"/>
        <v>3663213785</v>
      </c>
      <c r="L25" s="63">
        <f t="shared" si="0"/>
        <v>1</v>
      </c>
    </row>
    <row r="26" spans="1:12" x14ac:dyDescent="0.3">
      <c r="A26" s="54">
        <v>21</v>
      </c>
      <c r="B26" s="29" t="s">
        <v>29</v>
      </c>
      <c r="C26" s="53">
        <v>3913712017</v>
      </c>
      <c r="D26" s="54">
        <v>101</v>
      </c>
      <c r="E26" s="55">
        <v>2042506900</v>
      </c>
      <c r="F26" s="56">
        <f t="shared" si="1"/>
        <v>0.52188482216574905</v>
      </c>
      <c r="G26" s="54">
        <v>41</v>
      </c>
      <c r="H26" s="55">
        <v>1871205117</v>
      </c>
      <c r="I26" s="56">
        <f t="shared" si="2"/>
        <v>0.47811517783425095</v>
      </c>
      <c r="J26" s="54">
        <f t="shared" si="3"/>
        <v>142</v>
      </c>
      <c r="K26" s="55">
        <f t="shared" si="3"/>
        <v>3913712017</v>
      </c>
      <c r="L26" s="63">
        <f t="shared" si="0"/>
        <v>1</v>
      </c>
    </row>
    <row r="27" spans="1:12" x14ac:dyDescent="0.3">
      <c r="A27" s="54">
        <v>22</v>
      </c>
      <c r="B27" s="29" t="s">
        <v>30</v>
      </c>
      <c r="C27" s="53">
        <v>2910976818</v>
      </c>
      <c r="D27" s="54">
        <v>30</v>
      </c>
      <c r="E27" s="55">
        <v>1454655918</v>
      </c>
      <c r="F27" s="56">
        <f t="shared" si="1"/>
        <v>0.49971401661639753</v>
      </c>
      <c r="G27" s="54">
        <v>54</v>
      </c>
      <c r="H27" s="55">
        <v>1456320900</v>
      </c>
      <c r="I27" s="56">
        <f t="shared" si="2"/>
        <v>0.50028598338360253</v>
      </c>
      <c r="J27" s="54">
        <f t="shared" si="3"/>
        <v>84</v>
      </c>
      <c r="K27" s="55">
        <f t="shared" si="3"/>
        <v>2910976818</v>
      </c>
      <c r="L27" s="63">
        <f t="shared" si="0"/>
        <v>1</v>
      </c>
    </row>
    <row r="28" spans="1:12" ht="28.8" x14ac:dyDescent="0.3">
      <c r="A28" s="54">
        <v>23</v>
      </c>
      <c r="B28" s="29" t="s">
        <v>31</v>
      </c>
      <c r="C28" s="53">
        <v>585143680</v>
      </c>
      <c r="D28" s="54">
        <v>48</v>
      </c>
      <c r="E28" s="55">
        <v>423390680</v>
      </c>
      <c r="F28" s="56">
        <f t="shared" si="1"/>
        <v>0.72356703912447629</v>
      </c>
      <c r="G28" s="54">
        <v>10</v>
      </c>
      <c r="H28" s="55">
        <v>161753000</v>
      </c>
      <c r="I28" s="56">
        <f t="shared" si="2"/>
        <v>0.27643296087552377</v>
      </c>
      <c r="J28" s="54">
        <f t="shared" si="3"/>
        <v>58</v>
      </c>
      <c r="K28" s="55">
        <f t="shared" si="3"/>
        <v>585143680</v>
      </c>
      <c r="L28" s="63">
        <f t="shared" si="0"/>
        <v>1</v>
      </c>
    </row>
    <row r="29" spans="1:12" x14ac:dyDescent="0.3">
      <c r="A29" s="54">
        <v>24</v>
      </c>
      <c r="B29" s="29" t="s">
        <v>32</v>
      </c>
      <c r="C29" s="53">
        <v>146548548744</v>
      </c>
      <c r="D29" s="54">
        <v>220</v>
      </c>
      <c r="E29" s="55">
        <v>21434362344</v>
      </c>
      <c r="F29" s="56">
        <f t="shared" si="1"/>
        <v>0.1462611709751071</v>
      </c>
      <c r="G29" s="54">
        <v>82</v>
      </c>
      <c r="H29" s="55">
        <v>125114186400</v>
      </c>
      <c r="I29" s="56">
        <f t="shared" si="2"/>
        <v>0.85373882902489295</v>
      </c>
      <c r="J29" s="54">
        <f t="shared" si="3"/>
        <v>302</v>
      </c>
      <c r="K29" s="55">
        <f t="shared" si="3"/>
        <v>146548548744</v>
      </c>
      <c r="L29" s="63">
        <f t="shared" si="0"/>
        <v>1</v>
      </c>
    </row>
    <row r="30" spans="1:12" ht="31.5" customHeight="1" x14ac:dyDescent="0.3">
      <c r="A30" s="54">
        <v>25</v>
      </c>
      <c r="B30" s="29" t="s">
        <v>88</v>
      </c>
      <c r="C30" s="53">
        <v>15959119455</v>
      </c>
      <c r="D30" s="54">
        <v>43</v>
      </c>
      <c r="E30" s="55">
        <v>10917123750</v>
      </c>
      <c r="F30" s="56">
        <f t="shared" si="1"/>
        <v>0.68406805154777262</v>
      </c>
      <c r="G30" s="54">
        <v>131</v>
      </c>
      <c r="H30" s="55">
        <v>5041995705</v>
      </c>
      <c r="I30" s="56">
        <f t="shared" si="2"/>
        <v>0.31593194845222744</v>
      </c>
      <c r="J30" s="54">
        <f t="shared" si="3"/>
        <v>174</v>
      </c>
      <c r="K30" s="55">
        <f t="shared" si="3"/>
        <v>15959119455</v>
      </c>
      <c r="L30" s="63">
        <f t="shared" si="0"/>
        <v>1</v>
      </c>
    </row>
    <row r="31" spans="1:12" ht="28.8" x14ac:dyDescent="0.3">
      <c r="A31" s="54">
        <v>26</v>
      </c>
      <c r="B31" s="29" t="s">
        <v>33</v>
      </c>
      <c r="C31" s="53">
        <v>20490803850</v>
      </c>
      <c r="D31" s="54">
        <v>103</v>
      </c>
      <c r="E31" s="55">
        <v>18839137050</v>
      </c>
      <c r="F31" s="56">
        <f t="shared" si="1"/>
        <v>0.91939472887004381</v>
      </c>
      <c r="G31" s="54">
        <v>25</v>
      </c>
      <c r="H31" s="55">
        <v>1651666800</v>
      </c>
      <c r="I31" s="56">
        <f t="shared" si="2"/>
        <v>8.0605271129956177E-2</v>
      </c>
      <c r="J31" s="54">
        <f t="shared" si="3"/>
        <v>128</v>
      </c>
      <c r="K31" s="55">
        <f t="shared" si="3"/>
        <v>20490803850</v>
      </c>
      <c r="L31" s="63">
        <f t="shared" si="0"/>
        <v>1</v>
      </c>
    </row>
    <row r="32" spans="1:12" ht="28.8" x14ac:dyDescent="0.3">
      <c r="A32" s="54">
        <v>27</v>
      </c>
      <c r="B32" s="29" t="s">
        <v>34</v>
      </c>
      <c r="C32" s="53">
        <v>1935071209</v>
      </c>
      <c r="D32" s="54">
        <v>51</v>
      </c>
      <c r="E32" s="55">
        <v>1071251589</v>
      </c>
      <c r="F32" s="56">
        <f t="shared" si="1"/>
        <v>0.55359801955484522</v>
      </c>
      <c r="G32" s="54">
        <v>15</v>
      </c>
      <c r="H32" s="55">
        <v>863819620</v>
      </c>
      <c r="I32" s="56">
        <f t="shared" si="2"/>
        <v>0.44640198044515478</v>
      </c>
      <c r="J32" s="54">
        <f t="shared" si="3"/>
        <v>66</v>
      </c>
      <c r="K32" s="55">
        <f t="shared" si="3"/>
        <v>1935071209</v>
      </c>
      <c r="L32" s="63">
        <f t="shared" si="0"/>
        <v>1</v>
      </c>
    </row>
    <row r="33" spans="1:12" x14ac:dyDescent="0.3">
      <c r="A33" s="54">
        <v>28</v>
      </c>
      <c r="B33" s="29" t="s">
        <v>35</v>
      </c>
      <c r="C33" s="53">
        <v>6770685977</v>
      </c>
      <c r="D33" s="54">
        <v>71</v>
      </c>
      <c r="E33" s="55">
        <v>3904724700</v>
      </c>
      <c r="F33" s="56">
        <f t="shared" si="1"/>
        <v>0.57671035302247631</v>
      </c>
      <c r="G33" s="54">
        <v>35</v>
      </c>
      <c r="H33" s="55">
        <v>2865961277</v>
      </c>
      <c r="I33" s="56">
        <f t="shared" si="2"/>
        <v>0.42328964697752369</v>
      </c>
      <c r="J33" s="54">
        <f t="shared" si="3"/>
        <v>106</v>
      </c>
      <c r="K33" s="55">
        <f t="shared" si="3"/>
        <v>6770685977</v>
      </c>
      <c r="L33" s="63">
        <f t="shared" si="0"/>
        <v>1</v>
      </c>
    </row>
    <row r="34" spans="1:12" x14ac:dyDescent="0.3">
      <c r="A34" s="54">
        <v>29</v>
      </c>
      <c r="B34" s="29" t="s">
        <v>36</v>
      </c>
      <c r="C34" s="53">
        <v>2081145990</v>
      </c>
      <c r="D34" s="54">
        <v>100</v>
      </c>
      <c r="E34" s="55">
        <v>1551268890</v>
      </c>
      <c r="F34" s="56">
        <f t="shared" si="1"/>
        <v>0.74539167240256898</v>
      </c>
      <c r="G34" s="54">
        <v>18</v>
      </c>
      <c r="H34" s="55">
        <v>529877100</v>
      </c>
      <c r="I34" s="56">
        <f t="shared" si="2"/>
        <v>0.25460832759743107</v>
      </c>
      <c r="J34" s="54">
        <f t="shared" si="3"/>
        <v>118</v>
      </c>
      <c r="K34" s="55">
        <f t="shared" si="3"/>
        <v>2081145990</v>
      </c>
      <c r="L34" s="63">
        <f t="shared" si="0"/>
        <v>1</v>
      </c>
    </row>
    <row r="35" spans="1:12" ht="28.8" x14ac:dyDescent="0.3">
      <c r="A35" s="54">
        <v>30</v>
      </c>
      <c r="B35" s="29" t="s">
        <v>37</v>
      </c>
      <c r="C35" s="53">
        <v>3793857688</v>
      </c>
      <c r="D35" s="54">
        <v>88</v>
      </c>
      <c r="E35" s="55">
        <v>1700403188</v>
      </c>
      <c r="F35" s="56">
        <f t="shared" si="1"/>
        <v>0.44819899106347288</v>
      </c>
      <c r="G35" s="54">
        <v>29</v>
      </c>
      <c r="H35" s="55">
        <v>2093454500</v>
      </c>
      <c r="I35" s="56">
        <f t="shared" si="2"/>
        <v>0.55180100893652706</v>
      </c>
      <c r="J35" s="54">
        <f t="shared" si="3"/>
        <v>117</v>
      </c>
      <c r="K35" s="55">
        <f t="shared" si="3"/>
        <v>3793857688</v>
      </c>
      <c r="L35" s="63">
        <f t="shared" si="0"/>
        <v>1</v>
      </c>
    </row>
    <row r="36" spans="1:12" ht="28.8" x14ac:dyDescent="0.3">
      <c r="A36" s="54">
        <v>31</v>
      </c>
      <c r="B36" s="29" t="s">
        <v>38</v>
      </c>
      <c r="C36" s="53">
        <v>2794566000</v>
      </c>
      <c r="D36" s="54">
        <v>102</v>
      </c>
      <c r="E36" s="55">
        <v>876663000</v>
      </c>
      <c r="F36" s="56">
        <f t="shared" si="1"/>
        <v>0.31370273595255938</v>
      </c>
      <c r="G36" s="54">
        <v>63</v>
      </c>
      <c r="H36" s="55">
        <v>1917903000</v>
      </c>
      <c r="I36" s="56">
        <f t="shared" si="2"/>
        <v>0.68629726404744062</v>
      </c>
      <c r="J36" s="54">
        <f t="shared" si="3"/>
        <v>165</v>
      </c>
      <c r="K36" s="55">
        <f t="shared" si="3"/>
        <v>2794566000</v>
      </c>
      <c r="L36" s="63">
        <f t="shared" si="0"/>
        <v>1</v>
      </c>
    </row>
    <row r="37" spans="1:12" x14ac:dyDescent="0.3">
      <c r="A37" s="54">
        <v>32</v>
      </c>
      <c r="B37" s="29" t="s">
        <v>39</v>
      </c>
      <c r="C37" s="53">
        <v>4103342962</v>
      </c>
      <c r="D37" s="54">
        <v>73</v>
      </c>
      <c r="E37" s="55">
        <v>3250148962</v>
      </c>
      <c r="F37" s="56">
        <f t="shared" si="1"/>
        <v>0.79207343673165775</v>
      </c>
      <c r="G37" s="54">
        <v>6</v>
      </c>
      <c r="H37" s="55">
        <v>853194000</v>
      </c>
      <c r="I37" s="56">
        <f t="shared" si="2"/>
        <v>0.20792656326834227</v>
      </c>
      <c r="J37" s="54">
        <f t="shared" si="3"/>
        <v>79</v>
      </c>
      <c r="K37" s="55">
        <f t="shared" si="3"/>
        <v>4103342962</v>
      </c>
      <c r="L37" s="63">
        <f t="shared" si="0"/>
        <v>1</v>
      </c>
    </row>
    <row r="38" spans="1:12" ht="28.8" x14ac:dyDescent="0.3">
      <c r="A38" s="54">
        <v>33</v>
      </c>
      <c r="B38" s="29" t="s">
        <v>5</v>
      </c>
      <c r="C38" s="53">
        <v>1553100400</v>
      </c>
      <c r="D38" s="54">
        <v>53</v>
      </c>
      <c r="E38" s="55">
        <v>1101429400</v>
      </c>
      <c r="F38" s="56">
        <f t="shared" si="1"/>
        <v>0.70918106775325018</v>
      </c>
      <c r="G38" s="54">
        <v>7</v>
      </c>
      <c r="H38" s="55">
        <v>451671000</v>
      </c>
      <c r="I38" s="56">
        <f t="shared" si="2"/>
        <v>0.29081893224674982</v>
      </c>
      <c r="J38" s="54">
        <f t="shared" si="3"/>
        <v>60</v>
      </c>
      <c r="K38" s="55">
        <f t="shared" si="3"/>
        <v>1553100400</v>
      </c>
      <c r="L38" s="63">
        <f t="shared" si="0"/>
        <v>1</v>
      </c>
    </row>
    <row r="39" spans="1:12" x14ac:dyDescent="0.3">
      <c r="A39" s="54">
        <v>34</v>
      </c>
      <c r="B39" s="29" t="s">
        <v>6</v>
      </c>
      <c r="C39" s="53">
        <v>505189200639</v>
      </c>
      <c r="D39" s="54">
        <v>135</v>
      </c>
      <c r="E39" s="55">
        <v>355002626439</v>
      </c>
      <c r="F39" s="56">
        <f t="shared" si="1"/>
        <v>0.70271222344018214</v>
      </c>
      <c r="G39" s="54">
        <v>61</v>
      </c>
      <c r="H39" s="55">
        <v>150186574200</v>
      </c>
      <c r="I39" s="56">
        <f t="shared" si="2"/>
        <v>0.29728777655981781</v>
      </c>
      <c r="J39" s="54">
        <f t="shared" si="3"/>
        <v>196</v>
      </c>
      <c r="K39" s="55">
        <f t="shared" si="3"/>
        <v>505189200639</v>
      </c>
      <c r="L39" s="63">
        <f t="shared" si="0"/>
        <v>1</v>
      </c>
    </row>
    <row r="40" spans="1:12" x14ac:dyDescent="0.3">
      <c r="A40" s="54">
        <v>35</v>
      </c>
      <c r="B40" s="29" t="s">
        <v>40</v>
      </c>
      <c r="C40" s="53">
        <v>19933275196</v>
      </c>
      <c r="D40" s="54">
        <v>126</v>
      </c>
      <c r="E40" s="55">
        <v>11944673696</v>
      </c>
      <c r="F40" s="56">
        <f t="shared" si="1"/>
        <v>0.59923286958868316</v>
      </c>
      <c r="G40" s="54">
        <v>205</v>
      </c>
      <c r="H40" s="55">
        <v>7988601500</v>
      </c>
      <c r="I40" s="56">
        <f t="shared" si="2"/>
        <v>0.4007671304113169</v>
      </c>
      <c r="J40" s="54">
        <f t="shared" si="3"/>
        <v>331</v>
      </c>
      <c r="K40" s="55">
        <f t="shared" si="3"/>
        <v>19933275196</v>
      </c>
      <c r="L40" s="63">
        <f t="shared" si="0"/>
        <v>1</v>
      </c>
    </row>
    <row r="41" spans="1:12" x14ac:dyDescent="0.3">
      <c r="A41" s="54">
        <v>36</v>
      </c>
      <c r="B41" s="29" t="s">
        <v>41</v>
      </c>
      <c r="C41" s="53">
        <v>2666958938</v>
      </c>
      <c r="D41" s="54">
        <v>90</v>
      </c>
      <c r="E41" s="55">
        <v>2107031978</v>
      </c>
      <c r="F41" s="56">
        <f t="shared" si="1"/>
        <v>0.79005040084347933</v>
      </c>
      <c r="G41" s="54">
        <v>9</v>
      </c>
      <c r="H41" s="55">
        <v>559926960</v>
      </c>
      <c r="I41" s="56">
        <f t="shared" si="2"/>
        <v>0.20994959915652064</v>
      </c>
      <c r="J41" s="54">
        <f t="shared" si="3"/>
        <v>99</v>
      </c>
      <c r="K41" s="55">
        <f t="shared" si="3"/>
        <v>2666958938</v>
      </c>
      <c r="L41" s="63">
        <f t="shared" si="0"/>
        <v>1</v>
      </c>
    </row>
    <row r="42" spans="1:12" x14ac:dyDescent="0.3">
      <c r="A42" s="54">
        <v>37</v>
      </c>
      <c r="B42" s="29" t="s">
        <v>42</v>
      </c>
      <c r="C42" s="53">
        <v>29800570500</v>
      </c>
      <c r="D42" s="54">
        <v>74</v>
      </c>
      <c r="E42" s="55">
        <v>27962069800</v>
      </c>
      <c r="F42" s="56">
        <f t="shared" si="1"/>
        <v>0.93830652671565462</v>
      </c>
      <c r="G42" s="54">
        <v>18</v>
      </c>
      <c r="H42" s="55">
        <v>1838500700</v>
      </c>
      <c r="I42" s="56">
        <f t="shared" si="2"/>
        <v>6.1693473284345345E-2</v>
      </c>
      <c r="J42" s="54">
        <f t="shared" si="3"/>
        <v>92</v>
      </c>
      <c r="K42" s="55">
        <f t="shared" si="3"/>
        <v>29800570500</v>
      </c>
      <c r="L42" s="63">
        <f t="shared" si="0"/>
        <v>1</v>
      </c>
    </row>
    <row r="43" spans="1:12" x14ac:dyDescent="0.3">
      <c r="A43" s="54">
        <v>38</v>
      </c>
      <c r="B43" s="29" t="s">
        <v>43</v>
      </c>
      <c r="C43" s="53">
        <v>2121093371</v>
      </c>
      <c r="D43" s="54">
        <v>72</v>
      </c>
      <c r="E43" s="55">
        <v>1083483471</v>
      </c>
      <c r="F43" s="56">
        <f t="shared" si="1"/>
        <v>0.51081366139444695</v>
      </c>
      <c r="G43" s="54">
        <v>31</v>
      </c>
      <c r="H43" s="55">
        <v>1037609900</v>
      </c>
      <c r="I43" s="56">
        <f t="shared" si="2"/>
        <v>0.48918633860555305</v>
      </c>
      <c r="J43" s="54">
        <f t="shared" si="3"/>
        <v>103</v>
      </c>
      <c r="K43" s="55">
        <f t="shared" si="3"/>
        <v>2121093371</v>
      </c>
      <c r="L43" s="63">
        <f t="shared" si="0"/>
        <v>1</v>
      </c>
    </row>
    <row r="44" spans="1:12" x14ac:dyDescent="0.3">
      <c r="A44" s="54">
        <v>39</v>
      </c>
      <c r="B44" s="29" t="s">
        <v>44</v>
      </c>
      <c r="C44" s="53">
        <v>2756811375</v>
      </c>
      <c r="D44" s="54">
        <v>59</v>
      </c>
      <c r="E44" s="55">
        <v>1332226375</v>
      </c>
      <c r="F44" s="56">
        <f t="shared" si="1"/>
        <v>0.48324901263874104</v>
      </c>
      <c r="G44" s="54">
        <v>21</v>
      </c>
      <c r="H44" s="55">
        <v>1424585000</v>
      </c>
      <c r="I44" s="56">
        <f t="shared" si="2"/>
        <v>0.51675098736125902</v>
      </c>
      <c r="J44" s="54">
        <f t="shared" si="3"/>
        <v>80</v>
      </c>
      <c r="K44" s="55">
        <f t="shared" si="3"/>
        <v>2756811375</v>
      </c>
      <c r="L44" s="63">
        <f t="shared" si="0"/>
        <v>1</v>
      </c>
    </row>
    <row r="45" spans="1:12" ht="28.8" x14ac:dyDescent="0.3">
      <c r="A45" s="54">
        <v>40</v>
      </c>
      <c r="B45" s="29" t="s">
        <v>45</v>
      </c>
      <c r="C45" s="53">
        <v>77079721475</v>
      </c>
      <c r="D45" s="54">
        <v>322</v>
      </c>
      <c r="E45" s="55">
        <v>71646677394</v>
      </c>
      <c r="F45" s="56">
        <f t="shared" si="1"/>
        <v>0.92951396324437741</v>
      </c>
      <c r="G45" s="54">
        <v>28</v>
      </c>
      <c r="H45" s="55">
        <v>5433044081</v>
      </c>
      <c r="I45" s="56">
        <f t="shared" si="2"/>
        <v>7.0486036755622566E-2</v>
      </c>
      <c r="J45" s="54">
        <f t="shared" si="3"/>
        <v>350</v>
      </c>
      <c r="K45" s="55">
        <f t="shared" si="3"/>
        <v>77079721475</v>
      </c>
      <c r="L45" s="63">
        <f t="shared" si="0"/>
        <v>1</v>
      </c>
    </row>
    <row r="46" spans="1:12" ht="28.8" x14ac:dyDescent="0.3">
      <c r="A46" s="54">
        <v>41</v>
      </c>
      <c r="B46" s="29" t="s">
        <v>46</v>
      </c>
      <c r="C46" s="53">
        <v>7458575114</v>
      </c>
      <c r="D46" s="54">
        <v>159</v>
      </c>
      <c r="E46" s="55">
        <v>6553154814</v>
      </c>
      <c r="F46" s="56">
        <f t="shared" si="1"/>
        <v>0.87860680007090164</v>
      </c>
      <c r="G46" s="54">
        <v>35</v>
      </c>
      <c r="H46" s="55">
        <v>905420300</v>
      </c>
      <c r="I46" s="56">
        <f t="shared" si="2"/>
        <v>0.12139319992909842</v>
      </c>
      <c r="J46" s="54">
        <f t="shared" si="3"/>
        <v>194</v>
      </c>
      <c r="K46" s="55">
        <f t="shared" si="3"/>
        <v>7458575114</v>
      </c>
      <c r="L46" s="63">
        <f t="shared" si="0"/>
        <v>1</v>
      </c>
    </row>
    <row r="47" spans="1:12" x14ac:dyDescent="0.3">
      <c r="A47" s="54">
        <v>42</v>
      </c>
      <c r="B47" s="29" t="s">
        <v>47</v>
      </c>
      <c r="C47" s="53">
        <v>25955324388</v>
      </c>
      <c r="D47" s="54">
        <v>181</v>
      </c>
      <c r="E47" s="55">
        <v>18633202188</v>
      </c>
      <c r="F47" s="56">
        <f t="shared" si="1"/>
        <v>0.7178951767065852</v>
      </c>
      <c r="G47" s="54">
        <v>146</v>
      </c>
      <c r="H47" s="55">
        <v>7322122200</v>
      </c>
      <c r="I47" s="56">
        <f t="shared" si="2"/>
        <v>0.2821048232934148</v>
      </c>
      <c r="J47" s="54">
        <f t="shared" si="3"/>
        <v>327</v>
      </c>
      <c r="K47" s="55">
        <f t="shared" si="3"/>
        <v>25955324388</v>
      </c>
      <c r="L47" s="63">
        <f t="shared" si="0"/>
        <v>1</v>
      </c>
    </row>
    <row r="48" spans="1:12" x14ac:dyDescent="0.3">
      <c r="A48" s="54">
        <v>43</v>
      </c>
      <c r="B48" s="29" t="s">
        <v>48</v>
      </c>
      <c r="C48" s="53">
        <v>8380076200</v>
      </c>
      <c r="D48" s="54">
        <v>64</v>
      </c>
      <c r="E48" s="55">
        <v>6846520200</v>
      </c>
      <c r="F48" s="56">
        <f t="shared" si="1"/>
        <v>0.81699975472776731</v>
      </c>
      <c r="G48" s="54">
        <v>41</v>
      </c>
      <c r="H48" s="55">
        <v>1533556000</v>
      </c>
      <c r="I48" s="56">
        <f t="shared" si="2"/>
        <v>0.18300024527223271</v>
      </c>
      <c r="J48" s="54">
        <f t="shared" si="3"/>
        <v>105</v>
      </c>
      <c r="K48" s="55">
        <f t="shared" si="3"/>
        <v>8380076200</v>
      </c>
      <c r="L48" s="63">
        <f t="shared" si="0"/>
        <v>1</v>
      </c>
    </row>
    <row r="49" spans="1:12" x14ac:dyDescent="0.3">
      <c r="A49" s="54">
        <v>44</v>
      </c>
      <c r="B49" s="29" t="s">
        <v>7</v>
      </c>
      <c r="C49" s="53">
        <v>3010692400</v>
      </c>
      <c r="D49" s="54">
        <v>45</v>
      </c>
      <c r="E49" s="55">
        <v>1289729400</v>
      </c>
      <c r="F49" s="56">
        <f t="shared" si="1"/>
        <v>0.42838298592044805</v>
      </c>
      <c r="G49" s="54">
        <v>24</v>
      </c>
      <c r="H49" s="55">
        <v>1720963000</v>
      </c>
      <c r="I49" s="56">
        <f t="shared" si="2"/>
        <v>0.5716170140795519</v>
      </c>
      <c r="J49" s="54">
        <f t="shared" si="3"/>
        <v>69</v>
      </c>
      <c r="K49" s="55">
        <f t="shared" si="3"/>
        <v>3010692400</v>
      </c>
      <c r="L49" s="63">
        <f t="shared" si="0"/>
        <v>1</v>
      </c>
    </row>
    <row r="50" spans="1:12" x14ac:dyDescent="0.3">
      <c r="A50" s="54">
        <v>45</v>
      </c>
      <c r="B50" s="29" t="s">
        <v>49</v>
      </c>
      <c r="C50" s="53">
        <v>19182780290</v>
      </c>
      <c r="D50" s="54">
        <v>97</v>
      </c>
      <c r="E50" s="55">
        <v>18724128290</v>
      </c>
      <c r="F50" s="56">
        <f t="shared" si="1"/>
        <v>0.97609043146685592</v>
      </c>
      <c r="G50" s="54">
        <v>4</v>
      </c>
      <c r="H50" s="55">
        <v>458652000</v>
      </c>
      <c r="I50" s="56">
        <f t="shared" si="2"/>
        <v>2.3909568533144056E-2</v>
      </c>
      <c r="J50" s="54">
        <f t="shared" si="3"/>
        <v>101</v>
      </c>
      <c r="K50" s="55">
        <f t="shared" si="3"/>
        <v>19182780290</v>
      </c>
      <c r="L50" s="63">
        <f t="shared" si="0"/>
        <v>1</v>
      </c>
    </row>
    <row r="51" spans="1:12" ht="28.8" x14ac:dyDescent="0.3">
      <c r="A51" s="54">
        <v>46</v>
      </c>
      <c r="B51" s="29" t="s">
        <v>50</v>
      </c>
      <c r="C51" s="53">
        <v>3915409880</v>
      </c>
      <c r="D51" s="54">
        <v>52</v>
      </c>
      <c r="E51" s="55">
        <v>3176566896</v>
      </c>
      <c r="F51" s="56">
        <f t="shared" si="1"/>
        <v>0.81129868732925603</v>
      </c>
      <c r="G51" s="54">
        <v>7</v>
      </c>
      <c r="H51" s="55">
        <v>738842984</v>
      </c>
      <c r="I51" s="56">
        <f t="shared" si="2"/>
        <v>0.18870131267074394</v>
      </c>
      <c r="J51" s="54">
        <f t="shared" si="3"/>
        <v>59</v>
      </c>
      <c r="K51" s="55">
        <f t="shared" si="3"/>
        <v>3915409880</v>
      </c>
      <c r="L51" s="63">
        <f t="shared" si="0"/>
        <v>1</v>
      </c>
    </row>
    <row r="52" spans="1:12" ht="28.8" x14ac:dyDescent="0.3">
      <c r="A52" s="54">
        <v>47</v>
      </c>
      <c r="B52" s="29" t="s">
        <v>51</v>
      </c>
      <c r="C52" s="53">
        <v>429544080000</v>
      </c>
      <c r="D52" s="54">
        <v>60</v>
      </c>
      <c r="E52" s="55">
        <v>289583827897</v>
      </c>
      <c r="F52" s="56">
        <f t="shared" si="1"/>
        <v>0.67416556619055257</v>
      </c>
      <c r="G52" s="54">
        <v>16</v>
      </c>
      <c r="H52" s="55">
        <v>139960252103</v>
      </c>
      <c r="I52" s="56">
        <f t="shared" si="2"/>
        <v>0.32583443380944743</v>
      </c>
      <c r="J52" s="54">
        <f t="shared" si="3"/>
        <v>76</v>
      </c>
      <c r="K52" s="55">
        <f t="shared" si="3"/>
        <v>429544080000</v>
      </c>
      <c r="L52" s="63">
        <f t="shared" si="0"/>
        <v>1</v>
      </c>
    </row>
    <row r="53" spans="1:12" x14ac:dyDescent="0.3">
      <c r="A53" s="54">
        <v>48</v>
      </c>
      <c r="B53" s="29" t="s">
        <v>52</v>
      </c>
      <c r="C53" s="53">
        <v>1418921664</v>
      </c>
      <c r="D53" s="54">
        <v>35</v>
      </c>
      <c r="E53" s="55">
        <v>987921664</v>
      </c>
      <c r="F53" s="56">
        <f t="shared" si="1"/>
        <v>0.69624820669451704</v>
      </c>
      <c r="G53" s="54">
        <v>12</v>
      </c>
      <c r="H53" s="55">
        <v>431000000</v>
      </c>
      <c r="I53" s="56">
        <f t="shared" si="2"/>
        <v>0.30375179330548302</v>
      </c>
      <c r="J53" s="54">
        <f t="shared" si="3"/>
        <v>47</v>
      </c>
      <c r="K53" s="55">
        <f t="shared" si="3"/>
        <v>1418921664</v>
      </c>
      <c r="L53" s="63">
        <f t="shared" si="0"/>
        <v>1</v>
      </c>
    </row>
    <row r="54" spans="1:12" x14ac:dyDescent="0.3">
      <c r="A54" s="54">
        <v>49</v>
      </c>
      <c r="B54" s="29" t="s">
        <v>53</v>
      </c>
      <c r="C54" s="53">
        <v>266752819241</v>
      </c>
      <c r="D54" s="54">
        <v>258</v>
      </c>
      <c r="E54" s="55">
        <v>178882920059</v>
      </c>
      <c r="F54" s="56">
        <f t="shared" si="1"/>
        <v>0.67059429987649644</v>
      </c>
      <c r="G54" s="54">
        <v>46</v>
      </c>
      <c r="H54" s="55">
        <v>87869899182</v>
      </c>
      <c r="I54" s="56">
        <f t="shared" si="2"/>
        <v>0.32940570012350356</v>
      </c>
      <c r="J54" s="54">
        <f t="shared" si="3"/>
        <v>304</v>
      </c>
      <c r="K54" s="55">
        <f t="shared" si="3"/>
        <v>266752819241</v>
      </c>
      <c r="L54" s="63">
        <f t="shared" si="0"/>
        <v>1</v>
      </c>
    </row>
    <row r="55" spans="1:12" x14ac:dyDescent="0.3">
      <c r="A55" s="58"/>
      <c r="B55" s="59" t="s">
        <v>8</v>
      </c>
      <c r="C55" s="60">
        <f>SUM(C6:C54)</f>
        <v>3468789511866</v>
      </c>
      <c r="D55" s="58">
        <f>SUM(D6:D54)</f>
        <v>5371</v>
      </c>
      <c r="E55" s="61">
        <f>SUM(E6:E54)</f>
        <v>2654855382913</v>
      </c>
      <c r="F55" s="62">
        <f t="shared" si="1"/>
        <v>0.76535499598096035</v>
      </c>
      <c r="G55" s="58">
        <f>SUM(G6:G54)</f>
        <v>1828</v>
      </c>
      <c r="H55" s="61">
        <f>SUM(H6:H54)</f>
        <v>813934128953</v>
      </c>
      <c r="I55" s="62">
        <f t="shared" si="2"/>
        <v>0.23464500401903959</v>
      </c>
      <c r="J55" s="58">
        <f>SUM(J6:J54)</f>
        <v>7199</v>
      </c>
      <c r="K55" s="61">
        <f>SUM(K6:K54)</f>
        <v>3468789511866</v>
      </c>
      <c r="L55" s="64">
        <f t="shared" si="0"/>
        <v>1</v>
      </c>
    </row>
  </sheetData>
  <mergeCells count="8">
    <mergeCell ref="A2:L2"/>
    <mergeCell ref="J4:L4"/>
    <mergeCell ref="D4:F4"/>
    <mergeCell ref="G4:I4"/>
    <mergeCell ref="A1:K1"/>
    <mergeCell ref="A4:A5"/>
    <mergeCell ref="B4:B5"/>
    <mergeCell ref="C4:C5"/>
  </mergeCells>
  <pageMargins left="0.51181102362204722" right="0.31496062992125984" top="0.74803149606299213" bottom="0.55118110236220474" header="0.31496062992125984" footer="0.31496062992125984"/>
  <pageSetup paperSize="9" scale="9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"/>
  <sheetViews>
    <sheetView workbookViewId="0">
      <selection activeCell="N16" sqref="N16"/>
    </sheetView>
  </sheetViews>
  <sheetFormatPr defaultRowHeight="14.4" x14ac:dyDescent="0.3"/>
  <cols>
    <col min="1" max="1" width="4.6640625" customWidth="1"/>
    <col min="2" max="2" width="35.109375" customWidth="1"/>
    <col min="3" max="3" width="10" customWidth="1"/>
    <col min="4" max="4" width="8.5546875" customWidth="1"/>
    <col min="5" max="5" width="6.5546875" customWidth="1"/>
    <col min="6" max="6" width="8" customWidth="1"/>
    <col min="7" max="7" width="7.44140625" customWidth="1"/>
    <col min="8" max="8" width="5.5546875" customWidth="1"/>
    <col min="9" max="9" width="5.44140625" customWidth="1"/>
    <col min="10" max="10" width="6.109375" customWidth="1"/>
    <col min="11" max="11" width="7.88671875" customWidth="1"/>
    <col min="12" max="12" width="6.6640625" customWidth="1"/>
    <col min="13" max="13" width="5" customWidth="1"/>
    <col min="14" max="14" width="5.88671875" customWidth="1"/>
    <col min="15" max="15" width="7.109375" customWidth="1"/>
    <col min="16" max="16" width="8.33203125" customWidth="1"/>
    <col min="17" max="17" width="7.44140625" customWidth="1"/>
    <col min="18" max="18" width="4.88671875" customWidth="1"/>
    <col min="19" max="19" width="5.6640625" customWidth="1"/>
  </cols>
  <sheetData>
    <row r="1" spans="1:19" ht="18" x14ac:dyDescent="0.35">
      <c r="A1" s="68" t="s">
        <v>108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</row>
    <row r="2" spans="1:19" ht="18" x14ac:dyDescent="0.35">
      <c r="A2" s="68" t="s">
        <v>64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</row>
    <row r="4" spans="1:19" x14ac:dyDescent="0.3">
      <c r="A4" s="69" t="s">
        <v>54</v>
      </c>
      <c r="B4" s="69" t="s">
        <v>55</v>
      </c>
      <c r="C4" s="71" t="s">
        <v>110</v>
      </c>
      <c r="D4" s="70" t="s">
        <v>56</v>
      </c>
      <c r="E4" s="69" t="s">
        <v>68</v>
      </c>
      <c r="F4" s="69"/>
      <c r="G4" s="69"/>
      <c r="H4" s="69"/>
      <c r="I4" s="69"/>
      <c r="J4" s="69" t="s">
        <v>67</v>
      </c>
      <c r="K4" s="69"/>
      <c r="L4" s="69"/>
      <c r="M4" s="69"/>
      <c r="N4" s="69"/>
      <c r="O4" s="75" t="s">
        <v>66</v>
      </c>
      <c r="P4" s="75"/>
      <c r="Q4" s="75"/>
      <c r="R4" s="75"/>
      <c r="S4" s="75"/>
    </row>
    <row r="5" spans="1:19" ht="28.8" x14ac:dyDescent="0.3">
      <c r="A5" s="69"/>
      <c r="B5" s="69"/>
      <c r="C5" s="72"/>
      <c r="D5" s="70"/>
      <c r="E5" s="49" t="s">
        <v>57</v>
      </c>
      <c r="F5" s="49" t="s">
        <v>58</v>
      </c>
      <c r="G5" s="49" t="s">
        <v>59</v>
      </c>
      <c r="H5" s="49" t="s">
        <v>60</v>
      </c>
      <c r="I5" s="49" t="s">
        <v>61</v>
      </c>
      <c r="J5" s="49" t="s">
        <v>57</v>
      </c>
      <c r="K5" s="49" t="s">
        <v>58</v>
      </c>
      <c r="L5" s="49" t="s">
        <v>59</v>
      </c>
      <c r="M5" s="49" t="s">
        <v>60</v>
      </c>
      <c r="N5" s="49" t="s">
        <v>61</v>
      </c>
      <c r="O5" s="49" t="s">
        <v>57</v>
      </c>
      <c r="P5" s="49" t="s">
        <v>58</v>
      </c>
      <c r="Q5" s="49" t="s">
        <v>59</v>
      </c>
      <c r="R5" s="49" t="s">
        <v>60</v>
      </c>
      <c r="S5" s="49" t="s">
        <v>61</v>
      </c>
    </row>
    <row r="6" spans="1:19" x14ac:dyDescent="0.3">
      <c r="A6" s="16">
        <v>1</v>
      </c>
      <c r="B6" s="16">
        <v>2</v>
      </c>
      <c r="C6" s="16">
        <v>3</v>
      </c>
      <c r="D6" s="20">
        <v>4</v>
      </c>
      <c r="E6" s="73">
        <v>5</v>
      </c>
      <c r="F6" s="73"/>
      <c r="G6" s="73"/>
      <c r="H6" s="73"/>
      <c r="I6" s="73"/>
      <c r="J6" s="73">
        <v>6</v>
      </c>
      <c r="K6" s="73"/>
      <c r="L6" s="73"/>
      <c r="M6" s="73"/>
      <c r="N6" s="73"/>
      <c r="O6" s="73">
        <v>7</v>
      </c>
      <c r="P6" s="73"/>
      <c r="Q6" s="73"/>
      <c r="R6" s="73"/>
      <c r="S6" s="73"/>
    </row>
    <row r="7" spans="1:19" s="4" customFormat="1" x14ac:dyDescent="0.3">
      <c r="A7" s="2">
        <v>1</v>
      </c>
      <c r="B7" s="17" t="s">
        <v>22</v>
      </c>
      <c r="C7" s="67">
        <v>1</v>
      </c>
      <c r="D7" s="2">
        <v>1</v>
      </c>
      <c r="E7" s="2">
        <v>1</v>
      </c>
      <c r="F7" s="2">
        <v>1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19">
        <f t="shared" ref="O7:O11" si="0">E7+J7</f>
        <v>1</v>
      </c>
      <c r="P7" s="19">
        <v>1</v>
      </c>
      <c r="Q7" s="19">
        <f t="shared" ref="P7:S11" si="1">G7+L7</f>
        <v>1</v>
      </c>
      <c r="R7" s="19">
        <v>0</v>
      </c>
      <c r="S7" s="19">
        <f t="shared" si="1"/>
        <v>0</v>
      </c>
    </row>
    <row r="8" spans="1:19" s="4" customFormat="1" x14ac:dyDescent="0.3">
      <c r="A8" s="2">
        <v>2</v>
      </c>
      <c r="B8" s="17" t="s">
        <v>27</v>
      </c>
      <c r="C8" s="67">
        <v>214</v>
      </c>
      <c r="D8" s="2">
        <v>212</v>
      </c>
      <c r="E8" s="2">
        <v>136</v>
      </c>
      <c r="F8" s="2">
        <v>71</v>
      </c>
      <c r="G8" s="2">
        <v>70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19">
        <v>136</v>
      </c>
      <c r="P8" s="19">
        <v>71</v>
      </c>
      <c r="Q8" s="19">
        <f t="shared" si="1"/>
        <v>70</v>
      </c>
      <c r="R8" s="19">
        <f t="shared" si="1"/>
        <v>0</v>
      </c>
      <c r="S8" s="19">
        <f t="shared" si="1"/>
        <v>0</v>
      </c>
    </row>
    <row r="9" spans="1:19" s="4" customFormat="1" x14ac:dyDescent="0.3">
      <c r="A9" s="2">
        <v>3</v>
      </c>
      <c r="B9" s="17" t="s">
        <v>40</v>
      </c>
      <c r="C9" s="67">
        <v>15</v>
      </c>
      <c r="D9" s="2">
        <v>15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19">
        <f t="shared" si="0"/>
        <v>0</v>
      </c>
      <c r="P9" s="19">
        <f t="shared" si="1"/>
        <v>0</v>
      </c>
      <c r="Q9" s="19">
        <f t="shared" si="1"/>
        <v>0</v>
      </c>
      <c r="R9" s="19">
        <f t="shared" si="1"/>
        <v>0</v>
      </c>
      <c r="S9" s="19">
        <f t="shared" si="1"/>
        <v>0</v>
      </c>
    </row>
    <row r="10" spans="1:19" s="4" customFormat="1" ht="28.8" x14ac:dyDescent="0.3">
      <c r="A10" s="2">
        <v>4</v>
      </c>
      <c r="B10" s="17" t="s">
        <v>45</v>
      </c>
      <c r="C10" s="67">
        <v>24</v>
      </c>
      <c r="D10" s="2">
        <v>18</v>
      </c>
      <c r="E10" s="19">
        <v>14</v>
      </c>
      <c r="F10" s="19">
        <v>14</v>
      </c>
      <c r="G10" s="19">
        <v>14</v>
      </c>
      <c r="H10" s="19">
        <v>0</v>
      </c>
      <c r="I10" s="19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19">
        <v>14</v>
      </c>
      <c r="P10" s="19">
        <v>14</v>
      </c>
      <c r="Q10" s="19">
        <v>14</v>
      </c>
      <c r="R10" s="19">
        <v>0</v>
      </c>
      <c r="S10" s="19">
        <v>0</v>
      </c>
    </row>
    <row r="11" spans="1:19" s="4" customFormat="1" ht="28.8" x14ac:dyDescent="0.3">
      <c r="A11" s="2">
        <v>5</v>
      </c>
      <c r="B11" s="17" t="s">
        <v>62</v>
      </c>
      <c r="C11" s="67">
        <v>3</v>
      </c>
      <c r="D11" s="2">
        <v>2</v>
      </c>
      <c r="E11" s="2">
        <v>2</v>
      </c>
      <c r="F11" s="2">
        <v>2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19">
        <f t="shared" si="0"/>
        <v>2</v>
      </c>
      <c r="P11" s="19">
        <f t="shared" si="1"/>
        <v>2</v>
      </c>
      <c r="Q11" s="19">
        <f t="shared" si="1"/>
        <v>2</v>
      </c>
      <c r="R11" s="19">
        <f t="shared" si="1"/>
        <v>0</v>
      </c>
      <c r="S11" s="19">
        <f t="shared" si="1"/>
        <v>0</v>
      </c>
    </row>
    <row r="12" spans="1:19" s="14" customFormat="1" x14ac:dyDescent="0.3">
      <c r="A12" s="21"/>
      <c r="B12" s="16" t="s">
        <v>8</v>
      </c>
      <c r="C12" s="16">
        <f t="shared" ref="C12:S12" si="2">SUM(C7:C11)</f>
        <v>257</v>
      </c>
      <c r="D12" s="16">
        <f t="shared" si="2"/>
        <v>248</v>
      </c>
      <c r="E12" s="16">
        <f t="shared" si="2"/>
        <v>153</v>
      </c>
      <c r="F12" s="16">
        <f t="shared" si="2"/>
        <v>88</v>
      </c>
      <c r="G12" s="16">
        <f t="shared" si="2"/>
        <v>87</v>
      </c>
      <c r="H12" s="16">
        <f t="shared" si="2"/>
        <v>0</v>
      </c>
      <c r="I12" s="16">
        <f t="shared" si="2"/>
        <v>0</v>
      </c>
      <c r="J12" s="16">
        <f t="shared" si="2"/>
        <v>0</v>
      </c>
      <c r="K12" s="16">
        <f t="shared" si="2"/>
        <v>0</v>
      </c>
      <c r="L12" s="16">
        <f t="shared" si="2"/>
        <v>0</v>
      </c>
      <c r="M12" s="16">
        <f t="shared" si="2"/>
        <v>0</v>
      </c>
      <c r="N12" s="16">
        <f t="shared" si="2"/>
        <v>0</v>
      </c>
      <c r="O12" s="16">
        <f t="shared" si="2"/>
        <v>153</v>
      </c>
      <c r="P12" s="16">
        <f t="shared" si="2"/>
        <v>88</v>
      </c>
      <c r="Q12" s="16">
        <f t="shared" si="2"/>
        <v>87</v>
      </c>
      <c r="R12" s="16">
        <f t="shared" si="2"/>
        <v>0</v>
      </c>
      <c r="S12" s="16">
        <f t="shared" si="2"/>
        <v>0</v>
      </c>
    </row>
    <row r="14" spans="1:19" x14ac:dyDescent="0.3">
      <c r="B14" s="74" t="s">
        <v>109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</row>
    <row r="15" spans="1:19" x14ac:dyDescent="0.3">
      <c r="B15" t="s">
        <v>69</v>
      </c>
    </row>
    <row r="16" spans="1:19" x14ac:dyDescent="0.3">
      <c r="B16" t="s">
        <v>116</v>
      </c>
    </row>
    <row r="17" spans="2:2" x14ac:dyDescent="0.3">
      <c r="B17" t="s">
        <v>111</v>
      </c>
    </row>
    <row r="18" spans="2:2" x14ac:dyDescent="0.3">
      <c r="B18" t="s">
        <v>112</v>
      </c>
    </row>
    <row r="19" spans="2:2" x14ac:dyDescent="0.3">
      <c r="B19" t="s">
        <v>113</v>
      </c>
    </row>
    <row r="20" spans="2:2" x14ac:dyDescent="0.3">
      <c r="B20" t="s">
        <v>114</v>
      </c>
    </row>
    <row r="21" spans="2:2" x14ac:dyDescent="0.3">
      <c r="B21" t="s">
        <v>115</v>
      </c>
    </row>
  </sheetData>
  <mergeCells count="13">
    <mergeCell ref="E6:I6"/>
    <mergeCell ref="J6:N6"/>
    <mergeCell ref="O6:S6"/>
    <mergeCell ref="B14:S14"/>
    <mergeCell ref="A2:S2"/>
    <mergeCell ref="O4:S4"/>
    <mergeCell ref="A1:S1"/>
    <mergeCell ref="A4:A5"/>
    <mergeCell ref="B4:B5"/>
    <mergeCell ref="D4:D5"/>
    <mergeCell ref="J4:N4"/>
    <mergeCell ref="E4:I4"/>
    <mergeCell ref="C4:C5"/>
  </mergeCells>
  <pageMargins left="0.31496062992125984" right="0.31496062992125984" top="0.74803149606299213" bottom="0.74803149606299213" header="0.31496062992125984" footer="0.31496062992125984"/>
  <pageSetup paperSize="9" scale="9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5"/>
  <sheetViews>
    <sheetView workbookViewId="0">
      <selection activeCell="G56" sqref="G56"/>
    </sheetView>
  </sheetViews>
  <sheetFormatPr defaultRowHeight="14.4" x14ac:dyDescent="0.3"/>
  <cols>
    <col min="1" max="1" width="4.109375" style="1" customWidth="1"/>
    <col min="2" max="2" width="26" customWidth="1"/>
    <col min="3" max="3" width="16.5546875" customWidth="1"/>
    <col min="4" max="4" width="16.109375" customWidth="1"/>
    <col min="5" max="5" width="16.88671875" customWidth="1"/>
    <col min="6" max="6" width="15" customWidth="1"/>
    <col min="7" max="7" width="8.109375" customWidth="1"/>
    <col min="10" max="10" width="23.33203125" customWidth="1"/>
  </cols>
  <sheetData>
    <row r="1" spans="1:10" ht="18" x14ac:dyDescent="0.35">
      <c r="A1" s="68" t="s">
        <v>9</v>
      </c>
      <c r="B1" s="68"/>
      <c r="C1" s="68"/>
      <c r="D1" s="68"/>
      <c r="E1" s="68"/>
      <c r="F1" s="68"/>
      <c r="G1" s="68"/>
    </row>
    <row r="2" spans="1:10" ht="18" x14ac:dyDescent="0.35">
      <c r="A2" s="68" t="s">
        <v>64</v>
      </c>
      <c r="B2" s="68"/>
      <c r="C2" s="68"/>
      <c r="D2" s="68"/>
      <c r="E2" s="68"/>
      <c r="F2" s="68"/>
      <c r="G2" s="68"/>
    </row>
    <row r="3" spans="1:10" ht="11.25" customHeight="1" x14ac:dyDescent="0.3"/>
    <row r="4" spans="1:10" ht="15" customHeight="1" x14ac:dyDescent="0.3">
      <c r="A4" s="89" t="s">
        <v>54</v>
      </c>
      <c r="B4" s="89" t="s">
        <v>55</v>
      </c>
      <c r="C4" s="87" t="s">
        <v>77</v>
      </c>
      <c r="D4" s="89" t="s">
        <v>68</v>
      </c>
      <c r="E4" s="89" t="s">
        <v>67</v>
      </c>
      <c r="F4" s="91" t="s">
        <v>66</v>
      </c>
      <c r="G4" s="92"/>
    </row>
    <row r="5" spans="1:10" ht="28.8" x14ac:dyDescent="0.3">
      <c r="A5" s="90"/>
      <c r="B5" s="90"/>
      <c r="C5" s="88"/>
      <c r="D5" s="90"/>
      <c r="E5" s="90"/>
      <c r="F5" s="49" t="s">
        <v>78</v>
      </c>
      <c r="G5" s="49" t="s">
        <v>79</v>
      </c>
    </row>
    <row r="6" spans="1:10" x14ac:dyDescent="0.3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</row>
    <row r="7" spans="1:10" s="6" customFormat="1" x14ac:dyDescent="0.3">
      <c r="A7" s="5">
        <v>1</v>
      </c>
      <c r="B7" s="29" t="s">
        <v>3</v>
      </c>
      <c r="C7" s="44">
        <v>1564909979</v>
      </c>
      <c r="D7" s="44">
        <v>397974668</v>
      </c>
      <c r="E7" s="46">
        <v>0</v>
      </c>
      <c r="F7" s="44">
        <f>D7+E7</f>
        <v>397974668</v>
      </c>
      <c r="G7" s="47">
        <f>F7/C7</f>
        <v>0.25431154081739038</v>
      </c>
      <c r="J7" s="43"/>
    </row>
    <row r="8" spans="1:10" s="6" customFormat="1" ht="28.8" x14ac:dyDescent="0.3">
      <c r="A8" s="5">
        <v>2</v>
      </c>
      <c r="B8" s="29" t="s">
        <v>11</v>
      </c>
      <c r="C8" s="44">
        <v>1148230000</v>
      </c>
      <c r="D8" s="46">
        <v>0</v>
      </c>
      <c r="E8" s="46">
        <v>0</v>
      </c>
      <c r="F8" s="44">
        <f t="shared" ref="F8:F55" si="0">D8+E8</f>
        <v>0</v>
      </c>
      <c r="G8" s="47">
        <f t="shared" ref="G8:G56" si="1">F8/C8</f>
        <v>0</v>
      </c>
      <c r="J8" s="43"/>
    </row>
    <row r="9" spans="1:10" s="6" customFormat="1" ht="28.8" x14ac:dyDescent="0.3">
      <c r="A9" s="5">
        <v>3</v>
      </c>
      <c r="B9" s="29" t="s">
        <v>12</v>
      </c>
      <c r="C9" s="44">
        <v>9196186359</v>
      </c>
      <c r="D9" s="46">
        <v>0</v>
      </c>
      <c r="E9" s="46">
        <v>0</v>
      </c>
      <c r="F9" s="44">
        <f t="shared" si="0"/>
        <v>0</v>
      </c>
      <c r="G9" s="47">
        <f t="shared" si="1"/>
        <v>0</v>
      </c>
      <c r="J9" s="43"/>
    </row>
    <row r="10" spans="1:10" s="6" customFormat="1" x14ac:dyDescent="0.3">
      <c r="A10" s="5">
        <v>4</v>
      </c>
      <c r="B10" s="29" t="s">
        <v>13</v>
      </c>
      <c r="C10" s="44">
        <v>1471443000</v>
      </c>
      <c r="D10" s="46">
        <v>0</v>
      </c>
      <c r="E10" s="46">
        <v>0</v>
      </c>
      <c r="F10" s="44">
        <f t="shared" si="0"/>
        <v>0</v>
      </c>
      <c r="G10" s="47">
        <f t="shared" si="1"/>
        <v>0</v>
      </c>
      <c r="J10" s="43"/>
    </row>
    <row r="11" spans="1:10" s="6" customFormat="1" ht="28.8" x14ac:dyDescent="0.3">
      <c r="A11" s="5">
        <v>5</v>
      </c>
      <c r="B11" s="29" t="s">
        <v>14</v>
      </c>
      <c r="C11" s="44">
        <v>205320000</v>
      </c>
      <c r="D11" s="46">
        <v>0</v>
      </c>
      <c r="E11" s="46">
        <v>0</v>
      </c>
      <c r="F11" s="44">
        <f t="shared" si="0"/>
        <v>0</v>
      </c>
      <c r="G11" s="47">
        <f t="shared" si="1"/>
        <v>0</v>
      </c>
      <c r="J11" s="43"/>
    </row>
    <row r="12" spans="1:10" s="6" customFormat="1" ht="28.8" x14ac:dyDescent="0.3">
      <c r="A12" s="5">
        <v>6</v>
      </c>
      <c r="B12" s="29" t="s">
        <v>15</v>
      </c>
      <c r="C12" s="44">
        <v>12904405000</v>
      </c>
      <c r="D12" s="46">
        <v>0</v>
      </c>
      <c r="E12" s="46">
        <v>0</v>
      </c>
      <c r="F12" s="44">
        <f t="shared" si="0"/>
        <v>0</v>
      </c>
      <c r="G12" s="47">
        <f t="shared" si="1"/>
        <v>0</v>
      </c>
    </row>
    <row r="13" spans="1:10" s="6" customFormat="1" ht="28.8" x14ac:dyDescent="0.3">
      <c r="A13" s="5">
        <v>7</v>
      </c>
      <c r="B13" s="29" t="s">
        <v>16</v>
      </c>
      <c r="C13" s="44">
        <v>3685827000</v>
      </c>
      <c r="D13" s="46">
        <v>0</v>
      </c>
      <c r="E13" s="46">
        <v>0</v>
      </c>
      <c r="F13" s="44">
        <f t="shared" si="0"/>
        <v>0</v>
      </c>
      <c r="G13" s="47">
        <f t="shared" si="1"/>
        <v>0</v>
      </c>
    </row>
    <row r="14" spans="1:10" s="6" customFormat="1" x14ac:dyDescent="0.3">
      <c r="A14" s="5">
        <v>8</v>
      </c>
      <c r="B14" s="29" t="s">
        <v>17</v>
      </c>
      <c r="C14" s="44">
        <v>2798923000</v>
      </c>
      <c r="D14" s="46">
        <v>0</v>
      </c>
      <c r="E14" s="46">
        <v>0</v>
      </c>
      <c r="F14" s="44">
        <f t="shared" si="0"/>
        <v>0</v>
      </c>
      <c r="G14" s="47">
        <f t="shared" si="1"/>
        <v>0</v>
      </c>
    </row>
    <row r="15" spans="1:10" s="6" customFormat="1" ht="28.8" x14ac:dyDescent="0.3">
      <c r="A15" s="5">
        <v>9</v>
      </c>
      <c r="B15" s="29" t="s">
        <v>18</v>
      </c>
      <c r="C15" s="44">
        <v>2229512140</v>
      </c>
      <c r="D15" s="46">
        <v>0</v>
      </c>
      <c r="E15" s="46">
        <v>0</v>
      </c>
      <c r="F15" s="44">
        <f t="shared" si="0"/>
        <v>0</v>
      </c>
      <c r="G15" s="47">
        <f t="shared" si="1"/>
        <v>0</v>
      </c>
    </row>
    <row r="16" spans="1:10" s="6" customFormat="1" ht="28.8" x14ac:dyDescent="0.3">
      <c r="A16" s="5">
        <v>10</v>
      </c>
      <c r="B16" s="29" t="s">
        <v>19</v>
      </c>
      <c r="C16" s="44">
        <v>752989800</v>
      </c>
      <c r="D16" s="46">
        <v>0</v>
      </c>
      <c r="E16" s="46">
        <v>0</v>
      </c>
      <c r="F16" s="44">
        <f t="shared" si="0"/>
        <v>0</v>
      </c>
      <c r="G16" s="47">
        <f t="shared" si="1"/>
        <v>0</v>
      </c>
    </row>
    <row r="17" spans="1:7" s="6" customFormat="1" x14ac:dyDescent="0.3">
      <c r="A17" s="5">
        <v>11</v>
      </c>
      <c r="B17" s="29" t="s">
        <v>20</v>
      </c>
      <c r="C17" s="44">
        <v>2671941000</v>
      </c>
      <c r="D17" s="46">
        <v>0</v>
      </c>
      <c r="E17" s="46">
        <v>0</v>
      </c>
      <c r="F17" s="44">
        <f t="shared" si="0"/>
        <v>0</v>
      </c>
      <c r="G17" s="47">
        <f t="shared" si="1"/>
        <v>0</v>
      </c>
    </row>
    <row r="18" spans="1:7" s="6" customFormat="1" x14ac:dyDescent="0.3">
      <c r="A18" s="5">
        <v>12</v>
      </c>
      <c r="B18" s="29" t="s">
        <v>21</v>
      </c>
      <c r="C18" s="44">
        <v>782262400</v>
      </c>
      <c r="D18" s="46">
        <v>0</v>
      </c>
      <c r="E18" s="46">
        <v>0</v>
      </c>
      <c r="F18" s="44">
        <f t="shared" si="0"/>
        <v>0</v>
      </c>
      <c r="G18" s="47">
        <f t="shared" si="1"/>
        <v>0</v>
      </c>
    </row>
    <row r="19" spans="1:7" s="6" customFormat="1" x14ac:dyDescent="0.3">
      <c r="A19" s="5">
        <v>13</v>
      </c>
      <c r="B19" s="29" t="s">
        <v>22</v>
      </c>
      <c r="C19" s="44">
        <v>14043843800</v>
      </c>
      <c r="D19" s="46">
        <v>0</v>
      </c>
      <c r="E19" s="46">
        <v>0</v>
      </c>
      <c r="F19" s="44">
        <f t="shared" si="0"/>
        <v>0</v>
      </c>
      <c r="G19" s="47">
        <f t="shared" si="1"/>
        <v>0</v>
      </c>
    </row>
    <row r="20" spans="1:7" s="6" customFormat="1" x14ac:dyDescent="0.3">
      <c r="A20" s="5">
        <v>14</v>
      </c>
      <c r="B20" s="29" t="s">
        <v>23</v>
      </c>
      <c r="C20" s="44">
        <v>669691400</v>
      </c>
      <c r="D20" s="46">
        <v>0</v>
      </c>
      <c r="E20" s="46">
        <v>0</v>
      </c>
      <c r="F20" s="44">
        <f t="shared" si="0"/>
        <v>0</v>
      </c>
      <c r="G20" s="47">
        <f t="shared" si="1"/>
        <v>0</v>
      </c>
    </row>
    <row r="21" spans="1:7" s="6" customFormat="1" ht="28.8" x14ac:dyDescent="0.3">
      <c r="A21" s="5">
        <v>15</v>
      </c>
      <c r="B21" s="29" t="s">
        <v>24</v>
      </c>
      <c r="C21" s="46">
        <v>0</v>
      </c>
      <c r="D21" s="46">
        <v>0</v>
      </c>
      <c r="E21" s="46">
        <v>0</v>
      </c>
      <c r="F21" s="44">
        <f t="shared" si="0"/>
        <v>0</v>
      </c>
      <c r="G21" s="47">
        <v>1</v>
      </c>
    </row>
    <row r="22" spans="1:7" s="6" customFormat="1" ht="28.8" x14ac:dyDescent="0.3">
      <c r="A22" s="5">
        <v>16</v>
      </c>
      <c r="B22" s="29" t="s">
        <v>4</v>
      </c>
      <c r="C22" s="44">
        <v>767273000</v>
      </c>
      <c r="D22" s="44">
        <v>125706795</v>
      </c>
      <c r="E22" s="46">
        <v>0</v>
      </c>
      <c r="F22" s="44">
        <f t="shared" si="0"/>
        <v>125706795</v>
      </c>
      <c r="G22" s="47">
        <f t="shared" si="1"/>
        <v>0.1638358120251853</v>
      </c>
    </row>
    <row r="23" spans="1:7" s="6" customFormat="1" x14ac:dyDescent="0.3">
      <c r="A23" s="5">
        <v>17</v>
      </c>
      <c r="B23" s="29" t="s">
        <v>25</v>
      </c>
      <c r="C23" s="44">
        <v>316509000</v>
      </c>
      <c r="D23" s="46">
        <v>0</v>
      </c>
      <c r="E23" s="46">
        <v>0</v>
      </c>
      <c r="F23" s="44">
        <f t="shared" si="0"/>
        <v>0</v>
      </c>
      <c r="G23" s="47">
        <f t="shared" si="1"/>
        <v>0</v>
      </c>
    </row>
    <row r="24" spans="1:7" s="6" customFormat="1" x14ac:dyDescent="0.3">
      <c r="A24" s="5">
        <v>18</v>
      </c>
      <c r="B24" s="29" t="s">
        <v>26</v>
      </c>
      <c r="C24" s="44">
        <v>12850444000</v>
      </c>
      <c r="D24" s="46">
        <v>0</v>
      </c>
      <c r="E24" s="46">
        <v>0</v>
      </c>
      <c r="F24" s="44">
        <f t="shared" si="0"/>
        <v>0</v>
      </c>
      <c r="G24" s="47">
        <f t="shared" si="1"/>
        <v>0</v>
      </c>
    </row>
    <row r="25" spans="1:7" s="6" customFormat="1" ht="28.8" x14ac:dyDescent="0.3">
      <c r="A25" s="5">
        <v>19</v>
      </c>
      <c r="B25" s="29" t="s">
        <v>27</v>
      </c>
      <c r="C25" s="44">
        <v>190067736690</v>
      </c>
      <c r="D25" s="46">
        <v>0</v>
      </c>
      <c r="E25" s="46">
        <v>0</v>
      </c>
      <c r="F25" s="44">
        <f t="shared" si="0"/>
        <v>0</v>
      </c>
      <c r="G25" s="47">
        <f t="shared" si="1"/>
        <v>0</v>
      </c>
    </row>
    <row r="26" spans="1:7" s="6" customFormat="1" ht="28.8" x14ac:dyDescent="0.3">
      <c r="A26" s="5">
        <v>20</v>
      </c>
      <c r="B26" s="29" t="s">
        <v>28</v>
      </c>
      <c r="C26" s="44">
        <v>1524122856</v>
      </c>
      <c r="D26" s="46">
        <v>0</v>
      </c>
      <c r="E26" s="46">
        <v>0</v>
      </c>
      <c r="F26" s="44">
        <f t="shared" si="0"/>
        <v>0</v>
      </c>
      <c r="G26" s="47">
        <f t="shared" si="1"/>
        <v>0</v>
      </c>
    </row>
    <row r="27" spans="1:7" s="6" customFormat="1" x14ac:dyDescent="0.3">
      <c r="A27" s="5">
        <v>21</v>
      </c>
      <c r="B27" s="29" t="s">
        <v>29</v>
      </c>
      <c r="C27" s="44">
        <v>1871205117</v>
      </c>
      <c r="D27" s="46">
        <v>0</v>
      </c>
      <c r="E27" s="46">
        <v>0</v>
      </c>
      <c r="F27" s="44">
        <f t="shared" si="0"/>
        <v>0</v>
      </c>
      <c r="G27" s="47">
        <f t="shared" si="1"/>
        <v>0</v>
      </c>
    </row>
    <row r="28" spans="1:7" s="6" customFormat="1" x14ac:dyDescent="0.3">
      <c r="A28" s="5">
        <v>22</v>
      </c>
      <c r="B28" s="29" t="s">
        <v>30</v>
      </c>
      <c r="C28" s="44">
        <v>1456320900</v>
      </c>
      <c r="D28" s="46">
        <v>0</v>
      </c>
      <c r="E28" s="46">
        <v>0</v>
      </c>
      <c r="F28" s="44">
        <f t="shared" si="0"/>
        <v>0</v>
      </c>
      <c r="G28" s="47">
        <f t="shared" si="1"/>
        <v>0</v>
      </c>
    </row>
    <row r="29" spans="1:7" s="6" customFormat="1" ht="28.8" x14ac:dyDescent="0.3">
      <c r="A29" s="5">
        <v>23</v>
      </c>
      <c r="B29" s="29" t="s">
        <v>31</v>
      </c>
      <c r="C29" s="44">
        <v>161753000</v>
      </c>
      <c r="D29" s="46">
        <v>0</v>
      </c>
      <c r="E29" s="46">
        <v>0</v>
      </c>
      <c r="F29" s="44">
        <f t="shared" si="0"/>
        <v>0</v>
      </c>
      <c r="G29" s="47">
        <f t="shared" si="1"/>
        <v>0</v>
      </c>
    </row>
    <row r="30" spans="1:7" s="6" customFormat="1" x14ac:dyDescent="0.3">
      <c r="A30" s="5">
        <v>24</v>
      </c>
      <c r="B30" s="29" t="s">
        <v>32</v>
      </c>
      <c r="C30" s="44">
        <v>125114186400</v>
      </c>
      <c r="D30" s="46">
        <v>0</v>
      </c>
      <c r="E30" s="46">
        <v>0</v>
      </c>
      <c r="F30" s="44">
        <f t="shared" si="0"/>
        <v>0</v>
      </c>
      <c r="G30" s="47">
        <f t="shared" si="1"/>
        <v>0</v>
      </c>
    </row>
    <row r="31" spans="1:7" s="6" customFormat="1" ht="43.2" x14ac:dyDescent="0.3">
      <c r="A31" s="5">
        <v>25</v>
      </c>
      <c r="B31" s="29" t="s">
        <v>88</v>
      </c>
      <c r="C31" s="44">
        <v>5041995705</v>
      </c>
      <c r="D31" s="46">
        <v>0</v>
      </c>
      <c r="E31" s="46">
        <v>0</v>
      </c>
      <c r="F31" s="44">
        <f t="shared" si="0"/>
        <v>0</v>
      </c>
      <c r="G31" s="47">
        <f t="shared" si="1"/>
        <v>0</v>
      </c>
    </row>
    <row r="32" spans="1:7" s="6" customFormat="1" ht="28.8" x14ac:dyDescent="0.3">
      <c r="A32" s="5">
        <v>26</v>
      </c>
      <c r="B32" s="29" t="s">
        <v>33</v>
      </c>
      <c r="C32" s="44">
        <v>1651666800</v>
      </c>
      <c r="D32" s="46">
        <v>0</v>
      </c>
      <c r="E32" s="46">
        <v>0</v>
      </c>
      <c r="F32" s="44">
        <f t="shared" si="0"/>
        <v>0</v>
      </c>
      <c r="G32" s="47">
        <f t="shared" si="1"/>
        <v>0</v>
      </c>
    </row>
    <row r="33" spans="1:7" s="6" customFormat="1" ht="28.8" x14ac:dyDescent="0.3">
      <c r="A33" s="5">
        <v>27</v>
      </c>
      <c r="B33" s="29" t="s">
        <v>34</v>
      </c>
      <c r="C33" s="44">
        <v>863819620</v>
      </c>
      <c r="D33" s="46">
        <v>0</v>
      </c>
      <c r="E33" s="46">
        <v>0</v>
      </c>
      <c r="F33" s="44">
        <f t="shared" si="0"/>
        <v>0</v>
      </c>
      <c r="G33" s="47">
        <f t="shared" si="1"/>
        <v>0</v>
      </c>
    </row>
    <row r="34" spans="1:7" s="6" customFormat="1" x14ac:dyDescent="0.3">
      <c r="A34" s="5">
        <v>28</v>
      </c>
      <c r="B34" s="29" t="s">
        <v>35</v>
      </c>
      <c r="C34" s="44">
        <v>2865961277</v>
      </c>
      <c r="D34" s="46">
        <v>0</v>
      </c>
      <c r="E34" s="46">
        <v>0</v>
      </c>
      <c r="F34" s="44">
        <f t="shared" si="0"/>
        <v>0</v>
      </c>
      <c r="G34" s="47">
        <f t="shared" si="1"/>
        <v>0</v>
      </c>
    </row>
    <row r="35" spans="1:7" s="6" customFormat="1" ht="28.8" x14ac:dyDescent="0.3">
      <c r="A35" s="5">
        <v>29</v>
      </c>
      <c r="B35" s="29" t="s">
        <v>36</v>
      </c>
      <c r="C35" s="44">
        <v>529877100</v>
      </c>
      <c r="D35" s="46">
        <v>0</v>
      </c>
      <c r="E35" s="46">
        <v>0</v>
      </c>
      <c r="F35" s="44">
        <f t="shared" si="0"/>
        <v>0</v>
      </c>
      <c r="G35" s="47">
        <f t="shared" si="1"/>
        <v>0</v>
      </c>
    </row>
    <row r="36" spans="1:7" s="6" customFormat="1" ht="43.2" x14ac:dyDescent="0.3">
      <c r="A36" s="5">
        <v>30</v>
      </c>
      <c r="B36" s="29" t="s">
        <v>37</v>
      </c>
      <c r="C36" s="44">
        <v>2093454500</v>
      </c>
      <c r="D36" s="46">
        <v>0</v>
      </c>
      <c r="E36" s="46">
        <v>0</v>
      </c>
      <c r="F36" s="44">
        <f t="shared" si="0"/>
        <v>0</v>
      </c>
      <c r="G36" s="47">
        <f t="shared" si="1"/>
        <v>0</v>
      </c>
    </row>
    <row r="37" spans="1:7" s="6" customFormat="1" ht="43.2" x14ac:dyDescent="0.3">
      <c r="A37" s="5">
        <v>31</v>
      </c>
      <c r="B37" s="29" t="s">
        <v>38</v>
      </c>
      <c r="C37" s="44">
        <v>1917903000</v>
      </c>
      <c r="D37" s="46">
        <v>0</v>
      </c>
      <c r="E37" s="46">
        <v>0</v>
      </c>
      <c r="F37" s="44">
        <f t="shared" si="0"/>
        <v>0</v>
      </c>
      <c r="G37" s="47">
        <f t="shared" si="1"/>
        <v>0</v>
      </c>
    </row>
    <row r="38" spans="1:7" s="6" customFormat="1" x14ac:dyDescent="0.3">
      <c r="A38" s="5">
        <v>32</v>
      </c>
      <c r="B38" s="29" t="s">
        <v>39</v>
      </c>
      <c r="C38" s="44">
        <v>853194000</v>
      </c>
      <c r="D38" s="46">
        <v>0</v>
      </c>
      <c r="E38" s="46">
        <v>0</v>
      </c>
      <c r="F38" s="44">
        <f t="shared" si="0"/>
        <v>0</v>
      </c>
      <c r="G38" s="47">
        <f t="shared" si="1"/>
        <v>0</v>
      </c>
    </row>
    <row r="39" spans="1:7" s="6" customFormat="1" ht="28.8" x14ac:dyDescent="0.3">
      <c r="A39" s="5">
        <v>33</v>
      </c>
      <c r="B39" s="29" t="s">
        <v>5</v>
      </c>
      <c r="C39" s="44">
        <v>451671000</v>
      </c>
      <c r="D39" s="44">
        <v>46622830</v>
      </c>
      <c r="E39" s="46">
        <v>0</v>
      </c>
      <c r="F39" s="44">
        <f t="shared" si="0"/>
        <v>46622830</v>
      </c>
      <c r="G39" s="47">
        <f t="shared" si="1"/>
        <v>0.10322298752853294</v>
      </c>
    </row>
    <row r="40" spans="1:7" s="6" customFormat="1" ht="28.8" x14ac:dyDescent="0.3">
      <c r="A40" s="5">
        <v>34</v>
      </c>
      <c r="B40" s="29" t="s">
        <v>6</v>
      </c>
      <c r="C40" s="44">
        <v>150186574200</v>
      </c>
      <c r="D40" s="44">
        <v>320024000</v>
      </c>
      <c r="E40" s="46">
        <v>0</v>
      </c>
      <c r="F40" s="44">
        <f t="shared" si="0"/>
        <v>320024000</v>
      </c>
      <c r="G40" s="47">
        <f t="shared" si="1"/>
        <v>2.130842931231865E-3</v>
      </c>
    </row>
    <row r="41" spans="1:7" s="6" customFormat="1" ht="28.8" x14ac:dyDescent="0.3">
      <c r="A41" s="5">
        <v>35</v>
      </c>
      <c r="B41" s="29" t="s">
        <v>40</v>
      </c>
      <c r="C41" s="44">
        <v>7988601500</v>
      </c>
      <c r="D41" s="46">
        <v>0</v>
      </c>
      <c r="E41" s="46">
        <v>0</v>
      </c>
      <c r="F41" s="44">
        <f t="shared" si="0"/>
        <v>0</v>
      </c>
      <c r="G41" s="47">
        <f t="shared" si="1"/>
        <v>0</v>
      </c>
    </row>
    <row r="42" spans="1:7" s="6" customFormat="1" x14ac:dyDescent="0.3">
      <c r="A42" s="5">
        <v>36</v>
      </c>
      <c r="B42" s="29" t="s">
        <v>41</v>
      </c>
      <c r="C42" s="44">
        <v>559926960</v>
      </c>
      <c r="D42" s="46">
        <v>0</v>
      </c>
      <c r="E42" s="46">
        <v>0</v>
      </c>
      <c r="F42" s="44">
        <f t="shared" si="0"/>
        <v>0</v>
      </c>
      <c r="G42" s="47">
        <f t="shared" si="1"/>
        <v>0</v>
      </c>
    </row>
    <row r="43" spans="1:7" s="6" customFormat="1" ht="28.8" x14ac:dyDescent="0.3">
      <c r="A43" s="5">
        <v>37</v>
      </c>
      <c r="B43" s="29" t="s">
        <v>42</v>
      </c>
      <c r="C43" s="44">
        <v>1838500700</v>
      </c>
      <c r="D43" s="46">
        <v>0</v>
      </c>
      <c r="E43" s="46">
        <v>0</v>
      </c>
      <c r="F43" s="44">
        <f t="shared" si="0"/>
        <v>0</v>
      </c>
      <c r="G43" s="47">
        <f t="shared" si="1"/>
        <v>0</v>
      </c>
    </row>
    <row r="44" spans="1:7" s="6" customFormat="1" x14ac:dyDescent="0.3">
      <c r="A44" s="5">
        <v>38</v>
      </c>
      <c r="B44" s="29" t="s">
        <v>43</v>
      </c>
      <c r="C44" s="44">
        <v>1037609900</v>
      </c>
      <c r="D44" s="46">
        <v>0</v>
      </c>
      <c r="E44" s="46">
        <v>0</v>
      </c>
      <c r="F44" s="44">
        <f t="shared" si="0"/>
        <v>0</v>
      </c>
      <c r="G44" s="47">
        <f t="shared" si="1"/>
        <v>0</v>
      </c>
    </row>
    <row r="45" spans="1:7" s="6" customFormat="1" ht="28.8" x14ac:dyDescent="0.3">
      <c r="A45" s="5">
        <v>39</v>
      </c>
      <c r="B45" s="29" t="s">
        <v>44</v>
      </c>
      <c r="C45" s="44">
        <v>1424585000</v>
      </c>
      <c r="D45" s="46">
        <v>0</v>
      </c>
      <c r="E45" s="46">
        <v>0</v>
      </c>
      <c r="F45" s="44">
        <f t="shared" si="0"/>
        <v>0</v>
      </c>
      <c r="G45" s="47">
        <f t="shared" si="1"/>
        <v>0</v>
      </c>
    </row>
    <row r="46" spans="1:7" s="6" customFormat="1" ht="28.8" x14ac:dyDescent="0.3">
      <c r="A46" s="5">
        <v>40</v>
      </c>
      <c r="B46" s="29" t="s">
        <v>45</v>
      </c>
      <c r="C46" s="44">
        <v>5433044081</v>
      </c>
      <c r="D46" s="46">
        <v>0</v>
      </c>
      <c r="E46" s="46">
        <v>0</v>
      </c>
      <c r="F46" s="44">
        <f t="shared" si="0"/>
        <v>0</v>
      </c>
      <c r="G46" s="47">
        <f t="shared" si="1"/>
        <v>0</v>
      </c>
    </row>
    <row r="47" spans="1:7" s="6" customFormat="1" ht="28.8" x14ac:dyDescent="0.3">
      <c r="A47" s="5">
        <v>41</v>
      </c>
      <c r="B47" s="29" t="s">
        <v>46</v>
      </c>
      <c r="C47" s="44">
        <v>905420300</v>
      </c>
      <c r="D47" s="46">
        <v>0</v>
      </c>
      <c r="E47" s="46">
        <v>0</v>
      </c>
      <c r="F47" s="44">
        <f t="shared" si="0"/>
        <v>0</v>
      </c>
      <c r="G47" s="47">
        <f t="shared" si="1"/>
        <v>0</v>
      </c>
    </row>
    <row r="48" spans="1:7" s="6" customFormat="1" x14ac:dyDescent="0.3">
      <c r="A48" s="5">
        <v>42</v>
      </c>
      <c r="B48" s="29" t="s">
        <v>47</v>
      </c>
      <c r="C48" s="44">
        <v>7322122200</v>
      </c>
      <c r="D48" s="46">
        <v>0</v>
      </c>
      <c r="E48" s="46">
        <v>0</v>
      </c>
      <c r="F48" s="44">
        <f t="shared" si="0"/>
        <v>0</v>
      </c>
      <c r="G48" s="47">
        <f t="shared" si="1"/>
        <v>0</v>
      </c>
    </row>
    <row r="49" spans="1:7" s="6" customFormat="1" x14ac:dyDescent="0.3">
      <c r="A49" s="5">
        <v>43</v>
      </c>
      <c r="B49" s="29" t="s">
        <v>48</v>
      </c>
      <c r="C49" s="44">
        <v>1533556000</v>
      </c>
      <c r="D49" s="46">
        <v>0</v>
      </c>
      <c r="E49" s="46">
        <v>0</v>
      </c>
      <c r="F49" s="44">
        <f t="shared" si="0"/>
        <v>0</v>
      </c>
      <c r="G49" s="47">
        <f t="shared" si="1"/>
        <v>0</v>
      </c>
    </row>
    <row r="50" spans="1:7" s="6" customFormat="1" x14ac:dyDescent="0.3">
      <c r="A50" s="5">
        <v>44</v>
      </c>
      <c r="B50" s="29" t="s">
        <v>7</v>
      </c>
      <c r="C50" s="44">
        <v>1720963000</v>
      </c>
      <c r="D50" s="44">
        <v>80747902</v>
      </c>
      <c r="E50" s="46">
        <v>0</v>
      </c>
      <c r="F50" s="44">
        <f t="shared" si="0"/>
        <v>80747902</v>
      </c>
      <c r="G50" s="47">
        <f t="shared" si="1"/>
        <v>4.6920184803508271E-2</v>
      </c>
    </row>
    <row r="51" spans="1:7" s="6" customFormat="1" x14ac:dyDescent="0.3">
      <c r="A51" s="5">
        <v>45</v>
      </c>
      <c r="B51" s="29" t="s">
        <v>49</v>
      </c>
      <c r="C51" s="44">
        <v>458652000</v>
      </c>
      <c r="D51" s="46">
        <v>0</v>
      </c>
      <c r="E51" s="46">
        <v>0</v>
      </c>
      <c r="F51" s="44">
        <f t="shared" si="0"/>
        <v>0</v>
      </c>
      <c r="G51" s="47">
        <f t="shared" si="1"/>
        <v>0</v>
      </c>
    </row>
    <row r="52" spans="1:7" s="6" customFormat="1" ht="28.8" x14ac:dyDescent="0.3">
      <c r="A52" s="5">
        <v>46</v>
      </c>
      <c r="B52" s="29" t="s">
        <v>50</v>
      </c>
      <c r="C52" s="44">
        <v>738842984</v>
      </c>
      <c r="D52" s="46">
        <v>0</v>
      </c>
      <c r="E52" s="46">
        <v>0</v>
      </c>
      <c r="F52" s="44">
        <f t="shared" si="0"/>
        <v>0</v>
      </c>
      <c r="G52" s="47">
        <f t="shared" si="1"/>
        <v>0</v>
      </c>
    </row>
    <row r="53" spans="1:7" s="6" customFormat="1" ht="28.8" x14ac:dyDescent="0.3">
      <c r="A53" s="5">
        <v>47</v>
      </c>
      <c r="B53" s="29" t="s">
        <v>51</v>
      </c>
      <c r="C53" s="44">
        <v>139960252103</v>
      </c>
      <c r="D53" s="46">
        <v>0</v>
      </c>
      <c r="E53" s="46">
        <v>0</v>
      </c>
      <c r="F53" s="44">
        <f t="shared" si="0"/>
        <v>0</v>
      </c>
      <c r="G53" s="47">
        <f t="shared" si="1"/>
        <v>0</v>
      </c>
    </row>
    <row r="54" spans="1:7" s="6" customFormat="1" x14ac:dyDescent="0.3">
      <c r="A54" s="5">
        <v>48</v>
      </c>
      <c r="B54" s="29" t="s">
        <v>52</v>
      </c>
      <c r="C54" s="44">
        <v>431000000</v>
      </c>
      <c r="D54" s="46">
        <v>0</v>
      </c>
      <c r="E54" s="46">
        <v>0</v>
      </c>
      <c r="F54" s="44">
        <f t="shared" si="0"/>
        <v>0</v>
      </c>
      <c r="G54" s="47">
        <f t="shared" si="1"/>
        <v>0</v>
      </c>
    </row>
    <row r="55" spans="1:7" s="6" customFormat="1" x14ac:dyDescent="0.3">
      <c r="A55" s="5">
        <v>49</v>
      </c>
      <c r="B55" s="29" t="s">
        <v>53</v>
      </c>
      <c r="C55" s="44">
        <v>87869899182</v>
      </c>
      <c r="D55" s="46">
        <v>0</v>
      </c>
      <c r="E55" s="46">
        <v>0</v>
      </c>
      <c r="F55" s="44">
        <f t="shared" si="0"/>
        <v>0</v>
      </c>
      <c r="G55" s="47">
        <f t="shared" si="1"/>
        <v>0</v>
      </c>
    </row>
    <row r="56" spans="1:7" s="4" customFormat="1" x14ac:dyDescent="0.3">
      <c r="A56" s="84" t="s">
        <v>8</v>
      </c>
      <c r="B56" s="85"/>
      <c r="C56" s="45">
        <f>SUM(C7:C55)</f>
        <v>813934128953</v>
      </c>
      <c r="D56" s="45">
        <f t="shared" ref="D56:F56" si="2">SUM(D7:D55)</f>
        <v>971076195</v>
      </c>
      <c r="E56" s="45">
        <f t="shared" si="2"/>
        <v>0</v>
      </c>
      <c r="F56" s="45">
        <f t="shared" si="2"/>
        <v>971076195</v>
      </c>
      <c r="G56" s="47">
        <f t="shared" si="1"/>
        <v>1.1930648445091483E-3</v>
      </c>
    </row>
    <row r="57" spans="1:7" ht="11.25" customHeight="1" x14ac:dyDescent="0.3"/>
    <row r="58" spans="1:7" x14ac:dyDescent="0.3">
      <c r="B58" s="86" t="s">
        <v>100</v>
      </c>
      <c r="C58" s="86"/>
      <c r="D58" s="86"/>
      <c r="E58" s="86"/>
      <c r="F58" s="86"/>
      <c r="G58" s="86"/>
    </row>
    <row r="59" spans="1:7" x14ac:dyDescent="0.3">
      <c r="B59" t="s">
        <v>69</v>
      </c>
    </row>
    <row r="60" spans="1:7" x14ac:dyDescent="0.3">
      <c r="B60" t="s">
        <v>81</v>
      </c>
    </row>
    <row r="61" spans="1:7" x14ac:dyDescent="0.3">
      <c r="B61" t="s">
        <v>89</v>
      </c>
    </row>
    <row r="62" spans="1:7" x14ac:dyDescent="0.3">
      <c r="B62" t="s">
        <v>90</v>
      </c>
    </row>
    <row r="63" spans="1:7" x14ac:dyDescent="0.3">
      <c r="B63" t="s">
        <v>91</v>
      </c>
    </row>
    <row r="64" spans="1:7" x14ac:dyDescent="0.3">
      <c r="B64" t="s">
        <v>92</v>
      </c>
    </row>
    <row r="65" spans="2:2" customFormat="1" x14ac:dyDescent="0.3">
      <c r="B65" t="s">
        <v>93</v>
      </c>
    </row>
  </sheetData>
  <mergeCells count="10">
    <mergeCell ref="A56:B56"/>
    <mergeCell ref="B58:G58"/>
    <mergeCell ref="A1:G1"/>
    <mergeCell ref="A2:G2"/>
    <mergeCell ref="C4:C5"/>
    <mergeCell ref="D4:D5"/>
    <mergeCell ref="E4:E5"/>
    <mergeCell ref="F4:G4"/>
    <mergeCell ref="A4:A5"/>
    <mergeCell ref="B4:B5"/>
  </mergeCells>
  <pageMargins left="0.55118110236220474" right="0.35433070866141736" top="0.78740157480314965" bottom="0.78740157480314965" header="0.51181102362204722" footer="0.51181102362204722"/>
  <pageSetup paperSize="9" scale="9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"/>
  <sheetViews>
    <sheetView topLeftCell="A46" workbookViewId="0">
      <selection activeCell="G57" sqref="G57"/>
    </sheetView>
  </sheetViews>
  <sheetFormatPr defaultRowHeight="14.4" x14ac:dyDescent="0.3"/>
  <cols>
    <col min="1" max="1" width="4" style="1" customWidth="1"/>
    <col min="2" max="2" width="28.109375" customWidth="1"/>
    <col min="3" max="3" width="17.5546875" customWidth="1"/>
    <col min="4" max="4" width="16.109375" customWidth="1"/>
    <col min="5" max="5" width="16.33203125" customWidth="1"/>
    <col min="6" max="6" width="15" customWidth="1"/>
    <col min="7" max="7" width="8.109375" customWidth="1"/>
  </cols>
  <sheetData>
    <row r="1" spans="1:7" ht="18" x14ac:dyDescent="0.35">
      <c r="A1" s="68" t="s">
        <v>10</v>
      </c>
      <c r="B1" s="68"/>
      <c r="C1" s="68"/>
      <c r="D1" s="68"/>
      <c r="E1" s="68"/>
      <c r="F1" s="68"/>
      <c r="G1" s="68"/>
    </row>
    <row r="2" spans="1:7" ht="18" x14ac:dyDescent="0.35">
      <c r="A2" s="68" t="s">
        <v>64</v>
      </c>
      <c r="B2" s="68"/>
      <c r="C2" s="68"/>
      <c r="D2" s="68"/>
      <c r="E2" s="68"/>
      <c r="F2" s="68"/>
      <c r="G2" s="68"/>
    </row>
    <row r="3" spans="1:7" ht="11.25" customHeight="1" x14ac:dyDescent="0.3"/>
    <row r="4" spans="1:7" ht="15" customHeight="1" x14ac:dyDescent="0.3">
      <c r="A4" s="89" t="s">
        <v>54</v>
      </c>
      <c r="B4" s="89" t="s">
        <v>55</v>
      </c>
      <c r="C4" s="87" t="s">
        <v>77</v>
      </c>
      <c r="D4" s="89" t="s">
        <v>68</v>
      </c>
      <c r="E4" s="89" t="s">
        <v>67</v>
      </c>
      <c r="F4" s="91" t="s">
        <v>66</v>
      </c>
      <c r="G4" s="92"/>
    </row>
    <row r="5" spans="1:7" ht="28.8" x14ac:dyDescent="0.3">
      <c r="A5" s="90"/>
      <c r="B5" s="90"/>
      <c r="C5" s="88"/>
      <c r="D5" s="90"/>
      <c r="E5" s="90"/>
      <c r="F5" s="49" t="s">
        <v>78</v>
      </c>
      <c r="G5" s="49" t="s">
        <v>79</v>
      </c>
    </row>
    <row r="6" spans="1:7" x14ac:dyDescent="0.3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</row>
    <row r="7" spans="1:7" s="6" customFormat="1" x14ac:dyDescent="0.3">
      <c r="A7" s="5">
        <v>1</v>
      </c>
      <c r="B7" s="29" t="s">
        <v>3</v>
      </c>
      <c r="C7" s="65">
        <v>285560000</v>
      </c>
      <c r="D7" s="65">
        <v>26592057</v>
      </c>
      <c r="E7" s="65">
        <v>0</v>
      </c>
      <c r="F7" s="65">
        <f>D7+E7</f>
        <v>26592057</v>
      </c>
      <c r="G7" s="47">
        <f>F7/C7</f>
        <v>9.3122485642246816E-2</v>
      </c>
    </row>
    <row r="8" spans="1:7" s="6" customFormat="1" ht="28.8" x14ac:dyDescent="0.3">
      <c r="A8" s="5">
        <v>2</v>
      </c>
      <c r="B8" s="29" t="s">
        <v>11</v>
      </c>
      <c r="C8" s="65">
        <v>550465000</v>
      </c>
      <c r="D8" s="65">
        <v>0</v>
      </c>
      <c r="E8" s="65">
        <v>0</v>
      </c>
      <c r="F8" s="65">
        <f t="shared" ref="F8:F11" si="0">D8+E8</f>
        <v>0</v>
      </c>
      <c r="G8" s="47">
        <f t="shared" ref="G8:G55" si="1">F8/C8</f>
        <v>0</v>
      </c>
    </row>
    <row r="9" spans="1:7" s="6" customFormat="1" ht="28.8" x14ac:dyDescent="0.3">
      <c r="A9" s="5">
        <v>3</v>
      </c>
      <c r="B9" s="29" t="s">
        <v>12</v>
      </c>
      <c r="C9" s="65">
        <v>1089179138</v>
      </c>
      <c r="D9" s="65">
        <v>0</v>
      </c>
      <c r="E9" s="65">
        <v>0</v>
      </c>
      <c r="F9" s="65">
        <f t="shared" si="0"/>
        <v>0</v>
      </c>
      <c r="G9" s="47">
        <f t="shared" si="1"/>
        <v>0</v>
      </c>
    </row>
    <row r="10" spans="1:7" s="6" customFormat="1" x14ac:dyDescent="0.3">
      <c r="A10" s="5">
        <v>4</v>
      </c>
      <c r="B10" s="29" t="s">
        <v>13</v>
      </c>
      <c r="C10" s="65">
        <v>5114592988</v>
      </c>
      <c r="D10" s="65">
        <v>0</v>
      </c>
      <c r="E10" s="65">
        <v>0</v>
      </c>
      <c r="F10" s="65">
        <f t="shared" si="0"/>
        <v>0</v>
      </c>
      <c r="G10" s="47">
        <f t="shared" si="1"/>
        <v>0</v>
      </c>
    </row>
    <row r="11" spans="1:7" s="6" customFormat="1" ht="28.8" x14ac:dyDescent="0.3">
      <c r="A11" s="5">
        <v>5</v>
      </c>
      <c r="B11" s="29" t="s">
        <v>14</v>
      </c>
      <c r="C11" s="65">
        <v>378817000</v>
      </c>
      <c r="D11" s="65">
        <v>0</v>
      </c>
      <c r="E11" s="65">
        <v>0</v>
      </c>
      <c r="F11" s="65">
        <f t="shared" si="0"/>
        <v>0</v>
      </c>
      <c r="G11" s="47">
        <f t="shared" si="1"/>
        <v>0</v>
      </c>
    </row>
    <row r="12" spans="1:7" s="6" customFormat="1" ht="28.8" x14ac:dyDescent="0.3">
      <c r="A12" s="5">
        <v>6</v>
      </c>
      <c r="B12" s="29" t="s">
        <v>15</v>
      </c>
      <c r="C12" s="65">
        <v>3193369674</v>
      </c>
      <c r="D12" s="65">
        <v>0</v>
      </c>
      <c r="E12" s="65">
        <v>0</v>
      </c>
      <c r="F12" s="65">
        <f t="shared" ref="F12:F55" si="2">D12+E12</f>
        <v>0</v>
      </c>
      <c r="G12" s="47">
        <f t="shared" si="1"/>
        <v>0</v>
      </c>
    </row>
    <row r="13" spans="1:7" s="6" customFormat="1" ht="28.8" x14ac:dyDescent="0.3">
      <c r="A13" s="5">
        <v>7</v>
      </c>
      <c r="B13" s="29" t="s">
        <v>16</v>
      </c>
      <c r="C13" s="65">
        <v>1174285000</v>
      </c>
      <c r="D13" s="65">
        <v>0</v>
      </c>
      <c r="E13" s="65">
        <v>0</v>
      </c>
      <c r="F13" s="65">
        <f t="shared" si="2"/>
        <v>0</v>
      </c>
      <c r="G13" s="47">
        <f t="shared" si="1"/>
        <v>0</v>
      </c>
    </row>
    <row r="14" spans="1:7" s="6" customFormat="1" x14ac:dyDescent="0.3">
      <c r="A14" s="5">
        <v>8</v>
      </c>
      <c r="B14" s="29" t="s">
        <v>17</v>
      </c>
      <c r="C14" s="65">
        <v>3646564600</v>
      </c>
      <c r="D14" s="65">
        <v>0</v>
      </c>
      <c r="E14" s="65">
        <v>0</v>
      </c>
      <c r="F14" s="65">
        <f t="shared" si="2"/>
        <v>0</v>
      </c>
      <c r="G14" s="47">
        <f t="shared" si="1"/>
        <v>0</v>
      </c>
    </row>
    <row r="15" spans="1:7" s="6" customFormat="1" ht="28.8" x14ac:dyDescent="0.3">
      <c r="A15" s="5">
        <v>9</v>
      </c>
      <c r="B15" s="29" t="s">
        <v>18</v>
      </c>
      <c r="C15" s="65">
        <v>3364405000</v>
      </c>
      <c r="D15" s="65">
        <v>0</v>
      </c>
      <c r="E15" s="65">
        <v>0</v>
      </c>
      <c r="F15" s="65">
        <f t="shared" si="2"/>
        <v>0</v>
      </c>
      <c r="G15" s="47">
        <f t="shared" si="1"/>
        <v>0</v>
      </c>
    </row>
    <row r="16" spans="1:7" s="6" customFormat="1" x14ac:dyDescent="0.3">
      <c r="A16" s="5">
        <v>10</v>
      </c>
      <c r="B16" s="29" t="s">
        <v>19</v>
      </c>
      <c r="C16" s="65">
        <v>0</v>
      </c>
      <c r="D16" s="65">
        <v>0</v>
      </c>
      <c r="E16" s="65">
        <v>0</v>
      </c>
      <c r="F16" s="65">
        <f t="shared" si="2"/>
        <v>0</v>
      </c>
      <c r="G16" s="47">
        <v>1</v>
      </c>
    </row>
    <row r="17" spans="1:7" s="6" customFormat="1" x14ac:dyDescent="0.3">
      <c r="A17" s="5">
        <v>11</v>
      </c>
      <c r="B17" s="29" t="s">
        <v>20</v>
      </c>
      <c r="C17" s="65">
        <v>0</v>
      </c>
      <c r="D17" s="65">
        <v>0</v>
      </c>
      <c r="E17" s="65">
        <v>0</v>
      </c>
      <c r="F17" s="65">
        <f t="shared" si="2"/>
        <v>0</v>
      </c>
      <c r="G17" s="47">
        <v>1</v>
      </c>
    </row>
    <row r="18" spans="1:7" s="6" customFormat="1" x14ac:dyDescent="0.3">
      <c r="A18" s="5">
        <v>12</v>
      </c>
      <c r="B18" s="29" t="s">
        <v>21</v>
      </c>
      <c r="C18" s="65">
        <v>0</v>
      </c>
      <c r="D18" s="65">
        <v>0</v>
      </c>
      <c r="E18" s="65">
        <v>0</v>
      </c>
      <c r="F18" s="65">
        <f t="shared" si="2"/>
        <v>0</v>
      </c>
      <c r="G18" s="47">
        <v>1</v>
      </c>
    </row>
    <row r="19" spans="1:7" s="6" customFormat="1" x14ac:dyDescent="0.3">
      <c r="A19" s="5">
        <v>13</v>
      </c>
      <c r="B19" s="29" t="s">
        <v>22</v>
      </c>
      <c r="C19" s="65">
        <v>34429300</v>
      </c>
      <c r="D19" s="65">
        <v>0</v>
      </c>
      <c r="E19" s="65">
        <v>0</v>
      </c>
      <c r="F19" s="65">
        <f t="shared" si="2"/>
        <v>0</v>
      </c>
      <c r="G19" s="47">
        <f t="shared" si="1"/>
        <v>0</v>
      </c>
    </row>
    <row r="20" spans="1:7" s="6" customFormat="1" x14ac:dyDescent="0.3">
      <c r="A20" s="5">
        <v>14</v>
      </c>
      <c r="B20" s="29" t="s">
        <v>23</v>
      </c>
      <c r="C20" s="65">
        <v>124483280</v>
      </c>
      <c r="D20" s="65">
        <v>0</v>
      </c>
      <c r="E20" s="65">
        <v>0</v>
      </c>
      <c r="F20" s="65">
        <f t="shared" si="2"/>
        <v>0</v>
      </c>
      <c r="G20" s="47">
        <f t="shared" si="1"/>
        <v>0</v>
      </c>
    </row>
    <row r="21" spans="1:7" s="6" customFormat="1" ht="28.8" x14ac:dyDescent="0.3">
      <c r="A21" s="5">
        <v>15</v>
      </c>
      <c r="B21" s="29" t="s">
        <v>24</v>
      </c>
      <c r="C21" s="65">
        <v>831400600</v>
      </c>
      <c r="D21" s="65">
        <v>0</v>
      </c>
      <c r="E21" s="65">
        <v>0</v>
      </c>
      <c r="F21" s="65">
        <f t="shared" si="2"/>
        <v>0</v>
      </c>
      <c r="G21" s="47">
        <f t="shared" si="1"/>
        <v>0</v>
      </c>
    </row>
    <row r="22" spans="1:7" s="6" customFormat="1" x14ac:dyDescent="0.3">
      <c r="A22" s="5">
        <v>16</v>
      </c>
      <c r="B22" s="29" t="s">
        <v>4</v>
      </c>
      <c r="C22" s="65">
        <v>600</v>
      </c>
      <c r="D22" s="65">
        <v>0</v>
      </c>
      <c r="E22" s="65">
        <v>0</v>
      </c>
      <c r="F22" s="65">
        <f t="shared" si="2"/>
        <v>0</v>
      </c>
      <c r="G22" s="47">
        <f t="shared" si="1"/>
        <v>0</v>
      </c>
    </row>
    <row r="23" spans="1:7" s="6" customFormat="1" x14ac:dyDescent="0.3">
      <c r="A23" s="5">
        <v>17</v>
      </c>
      <c r="B23" s="29" t="s">
        <v>25</v>
      </c>
      <c r="C23" s="65">
        <v>0</v>
      </c>
      <c r="D23" s="65">
        <v>0</v>
      </c>
      <c r="E23" s="65">
        <v>0</v>
      </c>
      <c r="F23" s="65">
        <f t="shared" si="2"/>
        <v>0</v>
      </c>
      <c r="G23" s="47">
        <v>1</v>
      </c>
    </row>
    <row r="24" spans="1:7" s="6" customFormat="1" x14ac:dyDescent="0.3">
      <c r="A24" s="5">
        <v>18</v>
      </c>
      <c r="B24" s="29" t="s">
        <v>26</v>
      </c>
      <c r="C24" s="65">
        <v>16129360120</v>
      </c>
      <c r="D24" s="65">
        <v>0</v>
      </c>
      <c r="E24" s="65">
        <v>0</v>
      </c>
      <c r="F24" s="65">
        <f t="shared" si="2"/>
        <v>0</v>
      </c>
      <c r="G24" s="47">
        <f t="shared" si="1"/>
        <v>0</v>
      </c>
    </row>
    <row r="25" spans="1:7" s="6" customFormat="1" ht="28.8" x14ac:dyDescent="0.3">
      <c r="A25" s="5">
        <v>19</v>
      </c>
      <c r="B25" s="29" t="s">
        <v>27</v>
      </c>
      <c r="C25" s="65">
        <v>26951308840</v>
      </c>
      <c r="D25" s="65">
        <v>0</v>
      </c>
      <c r="E25" s="65">
        <v>0</v>
      </c>
      <c r="F25" s="65">
        <f t="shared" si="2"/>
        <v>0</v>
      </c>
      <c r="G25" s="47">
        <f t="shared" si="1"/>
        <v>0</v>
      </c>
    </row>
    <row r="26" spans="1:7" s="6" customFormat="1" ht="28.8" x14ac:dyDescent="0.3">
      <c r="A26" s="5">
        <v>20</v>
      </c>
      <c r="B26" s="29" t="s">
        <v>28</v>
      </c>
      <c r="C26" s="65">
        <v>1440415280</v>
      </c>
      <c r="D26" s="65">
        <v>0</v>
      </c>
      <c r="E26" s="65">
        <v>0</v>
      </c>
      <c r="F26" s="65">
        <f t="shared" si="2"/>
        <v>0</v>
      </c>
      <c r="G26" s="47">
        <f t="shared" si="1"/>
        <v>0</v>
      </c>
    </row>
    <row r="27" spans="1:7" s="6" customFormat="1" x14ac:dyDescent="0.3">
      <c r="A27" s="5">
        <v>21</v>
      </c>
      <c r="B27" s="29" t="s">
        <v>29</v>
      </c>
      <c r="C27" s="65">
        <v>1698936800</v>
      </c>
      <c r="D27" s="65">
        <v>0</v>
      </c>
      <c r="E27" s="65">
        <v>0</v>
      </c>
      <c r="F27" s="65">
        <f t="shared" si="2"/>
        <v>0</v>
      </c>
      <c r="G27" s="47">
        <f t="shared" si="1"/>
        <v>0</v>
      </c>
    </row>
    <row r="28" spans="1:7" s="6" customFormat="1" x14ac:dyDescent="0.3">
      <c r="A28" s="5">
        <v>22</v>
      </c>
      <c r="B28" s="29" t="s">
        <v>30</v>
      </c>
      <c r="C28" s="65">
        <v>0</v>
      </c>
      <c r="D28" s="65">
        <v>0</v>
      </c>
      <c r="E28" s="65">
        <v>0</v>
      </c>
      <c r="F28" s="65">
        <f t="shared" si="2"/>
        <v>0</v>
      </c>
      <c r="G28" s="47">
        <v>1</v>
      </c>
    </row>
    <row r="29" spans="1:7" s="6" customFormat="1" ht="28.8" x14ac:dyDescent="0.3">
      <c r="A29" s="5">
        <v>23</v>
      </c>
      <c r="B29" s="29" t="s">
        <v>31</v>
      </c>
      <c r="C29" s="65">
        <v>135646800</v>
      </c>
      <c r="D29" s="65">
        <v>0</v>
      </c>
      <c r="E29" s="65">
        <v>0</v>
      </c>
      <c r="F29" s="65">
        <f t="shared" si="2"/>
        <v>0</v>
      </c>
      <c r="G29" s="47">
        <f t="shared" si="1"/>
        <v>0</v>
      </c>
    </row>
    <row r="30" spans="1:7" s="6" customFormat="1" x14ac:dyDescent="0.3">
      <c r="A30" s="5">
        <v>24</v>
      </c>
      <c r="B30" s="29" t="s">
        <v>32</v>
      </c>
      <c r="C30" s="65">
        <v>6127078984</v>
      </c>
      <c r="D30" s="65">
        <v>0</v>
      </c>
      <c r="E30" s="65">
        <v>0</v>
      </c>
      <c r="F30" s="65">
        <f t="shared" si="2"/>
        <v>0</v>
      </c>
      <c r="G30" s="47">
        <f t="shared" si="1"/>
        <v>0</v>
      </c>
    </row>
    <row r="31" spans="1:7" s="6" customFormat="1" ht="43.2" x14ac:dyDescent="0.3">
      <c r="A31" s="5">
        <v>25</v>
      </c>
      <c r="B31" s="29" t="s">
        <v>88</v>
      </c>
      <c r="C31" s="65">
        <v>504816000</v>
      </c>
      <c r="D31" s="65">
        <v>0</v>
      </c>
      <c r="E31" s="65">
        <v>0</v>
      </c>
      <c r="F31" s="65">
        <f t="shared" si="2"/>
        <v>0</v>
      </c>
      <c r="G31" s="47">
        <f t="shared" si="1"/>
        <v>0</v>
      </c>
    </row>
    <row r="32" spans="1:7" s="6" customFormat="1" ht="28.8" x14ac:dyDescent="0.3">
      <c r="A32" s="5">
        <v>26</v>
      </c>
      <c r="B32" s="29" t="s">
        <v>33</v>
      </c>
      <c r="C32" s="65">
        <v>365882000</v>
      </c>
      <c r="D32" s="65">
        <v>0</v>
      </c>
      <c r="E32" s="65">
        <v>0</v>
      </c>
      <c r="F32" s="65">
        <f t="shared" si="2"/>
        <v>0</v>
      </c>
      <c r="G32" s="47">
        <f t="shared" si="1"/>
        <v>0</v>
      </c>
    </row>
    <row r="33" spans="1:7" s="6" customFormat="1" ht="28.8" x14ac:dyDescent="0.3">
      <c r="A33" s="5">
        <v>27</v>
      </c>
      <c r="B33" s="29" t="s">
        <v>34</v>
      </c>
      <c r="C33" s="65">
        <v>450310600</v>
      </c>
      <c r="D33" s="65">
        <v>0</v>
      </c>
      <c r="E33" s="65">
        <v>0</v>
      </c>
      <c r="F33" s="65">
        <f t="shared" si="2"/>
        <v>0</v>
      </c>
      <c r="G33" s="47">
        <f t="shared" si="1"/>
        <v>0</v>
      </c>
    </row>
    <row r="34" spans="1:7" s="6" customFormat="1" x14ac:dyDescent="0.3">
      <c r="A34" s="5">
        <v>28</v>
      </c>
      <c r="B34" s="29" t="s">
        <v>35</v>
      </c>
      <c r="C34" s="65">
        <v>852966600</v>
      </c>
      <c r="D34" s="65">
        <v>0</v>
      </c>
      <c r="E34" s="65">
        <v>0</v>
      </c>
      <c r="F34" s="65">
        <f t="shared" si="2"/>
        <v>0</v>
      </c>
      <c r="G34" s="47">
        <f t="shared" si="1"/>
        <v>0</v>
      </c>
    </row>
    <row r="35" spans="1:7" s="6" customFormat="1" ht="28.8" x14ac:dyDescent="0.3">
      <c r="A35" s="5">
        <v>29</v>
      </c>
      <c r="B35" s="29" t="s">
        <v>36</v>
      </c>
      <c r="C35" s="65">
        <v>574368890</v>
      </c>
      <c r="D35" s="65">
        <v>0</v>
      </c>
      <c r="E35" s="65">
        <v>0</v>
      </c>
      <c r="F35" s="65">
        <f t="shared" si="2"/>
        <v>0</v>
      </c>
      <c r="G35" s="47">
        <f t="shared" si="1"/>
        <v>0</v>
      </c>
    </row>
    <row r="36" spans="1:7" s="6" customFormat="1" ht="43.2" x14ac:dyDescent="0.3">
      <c r="A36" s="5">
        <v>30</v>
      </c>
      <c r="B36" s="29" t="s">
        <v>37</v>
      </c>
      <c r="C36" s="65">
        <v>265623600</v>
      </c>
      <c r="D36" s="65">
        <v>0</v>
      </c>
      <c r="E36" s="65">
        <v>0</v>
      </c>
      <c r="F36" s="65">
        <f t="shared" si="2"/>
        <v>0</v>
      </c>
      <c r="G36" s="47">
        <f t="shared" si="1"/>
        <v>0</v>
      </c>
    </row>
    <row r="37" spans="1:7" s="6" customFormat="1" ht="28.8" x14ac:dyDescent="0.3">
      <c r="A37" s="5">
        <v>31</v>
      </c>
      <c r="B37" s="29" t="s">
        <v>38</v>
      </c>
      <c r="C37" s="65">
        <v>13430000</v>
      </c>
      <c r="D37" s="65">
        <v>0</v>
      </c>
      <c r="E37" s="65">
        <v>0</v>
      </c>
      <c r="F37" s="65">
        <f t="shared" si="2"/>
        <v>0</v>
      </c>
      <c r="G37" s="47">
        <f t="shared" si="1"/>
        <v>0</v>
      </c>
    </row>
    <row r="38" spans="1:7" s="6" customFormat="1" x14ac:dyDescent="0.3">
      <c r="A38" s="5">
        <v>32</v>
      </c>
      <c r="B38" s="29" t="s">
        <v>39</v>
      </c>
      <c r="C38" s="65">
        <v>1592666136</v>
      </c>
      <c r="D38" s="65">
        <v>0</v>
      </c>
      <c r="E38" s="65">
        <v>0</v>
      </c>
      <c r="F38" s="65">
        <f t="shared" si="2"/>
        <v>0</v>
      </c>
      <c r="G38" s="47">
        <f t="shared" si="1"/>
        <v>0</v>
      </c>
    </row>
    <row r="39" spans="1:7" s="6" customFormat="1" ht="28.8" x14ac:dyDescent="0.3">
      <c r="A39" s="5">
        <v>33</v>
      </c>
      <c r="B39" s="29" t="s">
        <v>5</v>
      </c>
      <c r="C39" s="65">
        <v>216000000</v>
      </c>
      <c r="D39" s="65">
        <v>0</v>
      </c>
      <c r="E39" s="65">
        <v>0</v>
      </c>
      <c r="F39" s="65">
        <f t="shared" si="2"/>
        <v>0</v>
      </c>
      <c r="G39" s="47">
        <f t="shared" si="1"/>
        <v>0</v>
      </c>
    </row>
    <row r="40" spans="1:7" s="6" customFormat="1" ht="28.8" x14ac:dyDescent="0.3">
      <c r="A40" s="5">
        <v>34</v>
      </c>
      <c r="B40" s="29" t="s">
        <v>6</v>
      </c>
      <c r="C40" s="65">
        <v>7493389340</v>
      </c>
      <c r="D40" s="65">
        <v>1343056</v>
      </c>
      <c r="E40" s="65">
        <v>0</v>
      </c>
      <c r="F40" s="65">
        <f t="shared" si="2"/>
        <v>1343056</v>
      </c>
      <c r="G40" s="47">
        <f t="shared" si="1"/>
        <v>1.7923211234076888E-4</v>
      </c>
    </row>
    <row r="41" spans="1:7" s="6" customFormat="1" ht="28.8" x14ac:dyDescent="0.3">
      <c r="A41" s="5">
        <v>35</v>
      </c>
      <c r="B41" s="29" t="s">
        <v>40</v>
      </c>
      <c r="C41" s="65">
        <v>560986618</v>
      </c>
      <c r="D41" s="65">
        <v>0</v>
      </c>
      <c r="E41" s="65">
        <v>0</v>
      </c>
      <c r="F41" s="65">
        <f t="shared" si="2"/>
        <v>0</v>
      </c>
      <c r="G41" s="47">
        <f t="shared" si="1"/>
        <v>0</v>
      </c>
    </row>
    <row r="42" spans="1:7" s="6" customFormat="1" x14ac:dyDescent="0.3">
      <c r="A42" s="5">
        <v>36</v>
      </c>
      <c r="B42" s="29" t="s">
        <v>41</v>
      </c>
      <c r="C42" s="65">
        <v>1363910778</v>
      </c>
      <c r="D42" s="65">
        <v>0</v>
      </c>
      <c r="E42" s="65">
        <v>0</v>
      </c>
      <c r="F42" s="65">
        <f t="shared" si="2"/>
        <v>0</v>
      </c>
      <c r="G42" s="47">
        <f t="shared" si="1"/>
        <v>0</v>
      </c>
    </row>
    <row r="43" spans="1:7" s="6" customFormat="1" ht="28.8" x14ac:dyDescent="0.3">
      <c r="A43" s="5">
        <v>37</v>
      </c>
      <c r="B43" s="29" t="s">
        <v>42</v>
      </c>
      <c r="C43" s="65">
        <v>388280000</v>
      </c>
      <c r="D43" s="65">
        <v>0</v>
      </c>
      <c r="E43" s="65">
        <v>0</v>
      </c>
      <c r="F43" s="65">
        <f t="shared" si="2"/>
        <v>0</v>
      </c>
      <c r="G43" s="47">
        <f t="shared" si="1"/>
        <v>0</v>
      </c>
    </row>
    <row r="44" spans="1:7" s="6" customFormat="1" x14ac:dyDescent="0.3">
      <c r="A44" s="5">
        <v>38</v>
      </c>
      <c r="B44" s="29" t="s">
        <v>43</v>
      </c>
      <c r="C44" s="65">
        <v>127141300</v>
      </c>
      <c r="D44" s="65">
        <v>0</v>
      </c>
      <c r="E44" s="65">
        <v>0</v>
      </c>
      <c r="F44" s="65">
        <f t="shared" si="2"/>
        <v>0</v>
      </c>
      <c r="G44" s="47">
        <f t="shared" si="1"/>
        <v>0</v>
      </c>
    </row>
    <row r="45" spans="1:7" s="6" customFormat="1" ht="28.8" x14ac:dyDescent="0.3">
      <c r="A45" s="5">
        <v>39</v>
      </c>
      <c r="B45" s="29" t="s">
        <v>44</v>
      </c>
      <c r="C45" s="65">
        <v>0</v>
      </c>
      <c r="D45" s="65">
        <v>0</v>
      </c>
      <c r="E45" s="65">
        <v>0</v>
      </c>
      <c r="F45" s="65">
        <f t="shared" si="2"/>
        <v>0</v>
      </c>
      <c r="G45" s="47">
        <v>1</v>
      </c>
    </row>
    <row r="46" spans="1:7" s="6" customFormat="1" ht="28.8" x14ac:dyDescent="0.3">
      <c r="A46" s="5">
        <v>40</v>
      </c>
      <c r="B46" s="29" t="s">
        <v>45</v>
      </c>
      <c r="C46" s="65">
        <v>2830560901</v>
      </c>
      <c r="D46" s="65">
        <v>0</v>
      </c>
      <c r="E46" s="65">
        <v>0</v>
      </c>
      <c r="F46" s="65">
        <f t="shared" si="2"/>
        <v>0</v>
      </c>
      <c r="G46" s="47">
        <f t="shared" si="1"/>
        <v>0</v>
      </c>
    </row>
    <row r="47" spans="1:7" s="6" customFormat="1" ht="28.8" x14ac:dyDescent="0.3">
      <c r="A47" s="5">
        <v>41</v>
      </c>
      <c r="B47" s="29" t="s">
        <v>46</v>
      </c>
      <c r="C47" s="65">
        <v>1371044928</v>
      </c>
      <c r="D47" s="65">
        <v>0</v>
      </c>
      <c r="E47" s="65">
        <v>0</v>
      </c>
      <c r="F47" s="65">
        <f t="shared" si="2"/>
        <v>0</v>
      </c>
      <c r="G47" s="47">
        <f t="shared" si="1"/>
        <v>0</v>
      </c>
    </row>
    <row r="48" spans="1:7" s="6" customFormat="1" x14ac:dyDescent="0.3">
      <c r="A48" s="5">
        <v>42</v>
      </c>
      <c r="B48" s="29" t="s">
        <v>47</v>
      </c>
      <c r="C48" s="65">
        <v>10669322688</v>
      </c>
      <c r="D48" s="65">
        <v>0</v>
      </c>
      <c r="E48" s="65">
        <v>0</v>
      </c>
      <c r="F48" s="65">
        <f t="shared" si="2"/>
        <v>0</v>
      </c>
      <c r="G48" s="47">
        <f t="shared" si="1"/>
        <v>0</v>
      </c>
    </row>
    <row r="49" spans="1:7" s="6" customFormat="1" x14ac:dyDescent="0.3">
      <c r="A49" s="5">
        <v>43</v>
      </c>
      <c r="B49" s="29" t="s">
        <v>48</v>
      </c>
      <c r="C49" s="65">
        <v>6001000</v>
      </c>
      <c r="D49" s="65">
        <v>0</v>
      </c>
      <c r="E49" s="65">
        <v>0</v>
      </c>
      <c r="F49" s="65">
        <f t="shared" si="2"/>
        <v>0</v>
      </c>
      <c r="G49" s="47">
        <f t="shared" si="1"/>
        <v>0</v>
      </c>
    </row>
    <row r="50" spans="1:7" s="6" customFormat="1" x14ac:dyDescent="0.3">
      <c r="A50" s="5">
        <v>44</v>
      </c>
      <c r="B50" s="29" t="s">
        <v>7</v>
      </c>
      <c r="C50" s="65">
        <v>657327600</v>
      </c>
      <c r="D50" s="65">
        <v>128527596</v>
      </c>
      <c r="E50" s="65">
        <v>0</v>
      </c>
      <c r="F50" s="65">
        <f t="shared" si="2"/>
        <v>128527596</v>
      </c>
      <c r="G50" s="47">
        <f t="shared" si="1"/>
        <v>0.19553050259870422</v>
      </c>
    </row>
    <row r="51" spans="1:7" s="6" customFormat="1" x14ac:dyDescent="0.3">
      <c r="A51" s="5">
        <v>45</v>
      </c>
      <c r="B51" s="29" t="s">
        <v>49</v>
      </c>
      <c r="C51" s="65">
        <v>4610804053</v>
      </c>
      <c r="D51" s="65">
        <v>0</v>
      </c>
      <c r="E51" s="65">
        <v>0</v>
      </c>
      <c r="F51" s="65">
        <f t="shared" si="2"/>
        <v>0</v>
      </c>
      <c r="G51" s="47">
        <f t="shared" si="1"/>
        <v>0</v>
      </c>
    </row>
    <row r="52" spans="1:7" s="6" customFormat="1" ht="28.8" x14ac:dyDescent="0.3">
      <c r="A52" s="5">
        <v>46</v>
      </c>
      <c r="B52" s="29" t="s">
        <v>50</v>
      </c>
      <c r="C52" s="65">
        <v>481835266</v>
      </c>
      <c r="D52" s="65">
        <v>0</v>
      </c>
      <c r="E52" s="65">
        <v>0</v>
      </c>
      <c r="F52" s="65">
        <f t="shared" si="2"/>
        <v>0</v>
      </c>
      <c r="G52" s="47">
        <f t="shared" si="1"/>
        <v>0</v>
      </c>
    </row>
    <row r="53" spans="1:7" s="6" customFormat="1" ht="28.8" x14ac:dyDescent="0.3">
      <c r="A53" s="5">
        <v>47</v>
      </c>
      <c r="B53" s="29" t="s">
        <v>51</v>
      </c>
      <c r="C53" s="65">
        <v>21118540440</v>
      </c>
      <c r="D53" s="65">
        <v>0</v>
      </c>
      <c r="E53" s="65">
        <v>0</v>
      </c>
      <c r="F53" s="65">
        <f t="shared" si="2"/>
        <v>0</v>
      </c>
      <c r="G53" s="47">
        <f t="shared" si="1"/>
        <v>0</v>
      </c>
    </row>
    <row r="54" spans="1:7" s="6" customFormat="1" x14ac:dyDescent="0.3">
      <c r="A54" s="5">
        <v>48</v>
      </c>
      <c r="B54" s="29" t="s">
        <v>52</v>
      </c>
      <c r="C54" s="65">
        <v>137020000</v>
      </c>
      <c r="D54" s="65">
        <v>0</v>
      </c>
      <c r="E54" s="65">
        <v>0</v>
      </c>
      <c r="F54" s="65">
        <f t="shared" si="2"/>
        <v>0</v>
      </c>
      <c r="G54" s="47">
        <f t="shared" si="1"/>
        <v>0</v>
      </c>
    </row>
    <row r="55" spans="1:7" s="6" customFormat="1" x14ac:dyDescent="0.3">
      <c r="A55" s="5">
        <v>49</v>
      </c>
      <c r="B55" s="29" t="s">
        <v>53</v>
      </c>
      <c r="C55" s="65">
        <v>6879896593</v>
      </c>
      <c r="D55" s="65">
        <v>0</v>
      </c>
      <c r="E55" s="65">
        <v>0</v>
      </c>
      <c r="F55" s="65">
        <f t="shared" si="2"/>
        <v>0</v>
      </c>
      <c r="G55" s="47">
        <f t="shared" si="1"/>
        <v>0</v>
      </c>
    </row>
    <row r="56" spans="1:7" s="4" customFormat="1" ht="21" customHeight="1" x14ac:dyDescent="0.3">
      <c r="A56" s="84" t="s">
        <v>8</v>
      </c>
      <c r="B56" s="85"/>
      <c r="C56" s="66">
        <f>SUM(C7:C55)</f>
        <v>135802424335</v>
      </c>
      <c r="D56" s="66">
        <f t="shared" ref="D56:F56" si="3">SUM(D7:D55)</f>
        <v>156462709</v>
      </c>
      <c r="E56" s="66">
        <f t="shared" si="3"/>
        <v>0</v>
      </c>
      <c r="F56" s="66">
        <f t="shared" si="3"/>
        <v>156462709</v>
      </c>
      <c r="G56" s="48">
        <f>F56/C56</f>
        <v>1.1521348736310835E-3</v>
      </c>
    </row>
    <row r="58" spans="1:7" ht="48" customHeight="1" x14ac:dyDescent="0.3">
      <c r="B58" s="86" t="s">
        <v>83</v>
      </c>
      <c r="C58" s="86"/>
      <c r="D58" s="86"/>
      <c r="E58" s="86"/>
      <c r="F58" s="86"/>
      <c r="G58" s="86"/>
    </row>
    <row r="59" spans="1:7" x14ac:dyDescent="0.3">
      <c r="B59" t="s">
        <v>69</v>
      </c>
    </row>
    <row r="60" spans="1:7" x14ac:dyDescent="0.3">
      <c r="B60" t="s">
        <v>81</v>
      </c>
    </row>
    <row r="61" spans="1:7" x14ac:dyDescent="0.3">
      <c r="B61" t="s">
        <v>82</v>
      </c>
    </row>
    <row r="62" spans="1:7" x14ac:dyDescent="0.3">
      <c r="B62" t="s">
        <v>84</v>
      </c>
    </row>
    <row r="63" spans="1:7" x14ac:dyDescent="0.3">
      <c r="B63" t="s">
        <v>85</v>
      </c>
    </row>
    <row r="64" spans="1:7" x14ac:dyDescent="0.3">
      <c r="B64" t="s">
        <v>86</v>
      </c>
    </row>
    <row r="65" spans="2:2" customFormat="1" x14ac:dyDescent="0.3">
      <c r="B65" t="s">
        <v>87</v>
      </c>
    </row>
  </sheetData>
  <mergeCells count="10">
    <mergeCell ref="A2:G2"/>
    <mergeCell ref="A1:G1"/>
    <mergeCell ref="B58:G58"/>
    <mergeCell ref="A56:B56"/>
    <mergeCell ref="A4:A5"/>
    <mergeCell ref="B4:B5"/>
    <mergeCell ref="F4:G4"/>
    <mergeCell ref="C4:C5"/>
    <mergeCell ref="D4:D5"/>
    <mergeCell ref="E4:E5"/>
  </mergeCells>
  <pageMargins left="0.51181102362204722" right="0.31496062992125984" top="0.74803149606299213" bottom="0.74803149606299213" header="0.31496062992125984" footer="0.31496062992125984"/>
  <pageSetup paperSize="9" scale="9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5"/>
  <sheetViews>
    <sheetView workbookViewId="0">
      <selection activeCell="E12" sqref="E12"/>
    </sheetView>
  </sheetViews>
  <sheetFormatPr defaultRowHeight="14.4" x14ac:dyDescent="0.3"/>
  <cols>
    <col min="1" max="1" width="4.6640625" customWidth="1"/>
    <col min="2" max="2" width="25.88671875" customWidth="1"/>
    <col min="3" max="3" width="16.44140625" customWidth="1"/>
    <col min="4" max="4" width="15.5546875" customWidth="1"/>
    <col min="5" max="5" width="15" customWidth="1"/>
    <col min="6" max="6" width="15.44140625" customWidth="1"/>
    <col min="7" max="7" width="9.109375" customWidth="1"/>
    <col min="9" max="9" width="22.5546875" customWidth="1"/>
  </cols>
  <sheetData>
    <row r="1" spans="1:28" ht="16.5" customHeight="1" thickBot="1" x14ac:dyDescent="0.35">
      <c r="A1" s="93" t="s">
        <v>63</v>
      </c>
      <c r="B1" s="93"/>
      <c r="C1" s="93"/>
      <c r="D1" s="93"/>
      <c r="E1" s="93"/>
      <c r="F1" s="93"/>
      <c r="G1" s="9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6.2" thickBot="1" x14ac:dyDescent="0.35">
      <c r="A2" s="95" t="s">
        <v>64</v>
      </c>
      <c r="B2" s="95"/>
      <c r="C2" s="95"/>
      <c r="D2" s="95"/>
      <c r="E2" s="95"/>
      <c r="F2" s="95"/>
      <c r="G2" s="9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" thickBot="1" x14ac:dyDescent="0.35">
      <c r="B3" s="18"/>
      <c r="C3" s="18"/>
      <c r="D3" s="18"/>
      <c r="E3" s="18"/>
      <c r="F3" s="18"/>
      <c r="G3" s="18"/>
      <c r="H3" s="1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s="10" customFormat="1" ht="21" customHeight="1" thickBot="1" x14ac:dyDescent="0.35">
      <c r="A4" s="96" t="s">
        <v>54</v>
      </c>
      <c r="B4" s="97" t="s">
        <v>55</v>
      </c>
      <c r="C4" s="97" t="s">
        <v>65</v>
      </c>
      <c r="D4" s="94" t="s">
        <v>68</v>
      </c>
      <c r="E4" s="94" t="s">
        <v>80</v>
      </c>
      <c r="F4" s="97" t="s">
        <v>66</v>
      </c>
      <c r="G4" s="97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s="10" customFormat="1" ht="29.25" customHeight="1" thickBot="1" x14ac:dyDescent="0.35">
      <c r="A5" s="96"/>
      <c r="B5" s="97"/>
      <c r="C5" s="97"/>
      <c r="D5" s="94"/>
      <c r="E5" s="94"/>
      <c r="F5" s="52" t="s">
        <v>78</v>
      </c>
      <c r="G5" s="52" t="s">
        <v>79</v>
      </c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s="10" customFormat="1" ht="19.5" customHeight="1" thickBot="1" x14ac:dyDescent="0.35">
      <c r="A6" s="2">
        <v>1</v>
      </c>
      <c r="B6" s="22">
        <v>2</v>
      </c>
      <c r="C6" s="22">
        <v>3</v>
      </c>
      <c r="D6" s="23">
        <v>4</v>
      </c>
      <c r="E6" s="23">
        <v>5</v>
      </c>
      <c r="F6" s="22">
        <v>6</v>
      </c>
      <c r="G6" s="22">
        <v>7</v>
      </c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18.75" customHeight="1" thickBot="1" x14ac:dyDescent="0.35">
      <c r="A7" s="24">
        <v>1</v>
      </c>
      <c r="B7" s="29" t="s">
        <v>3</v>
      </c>
      <c r="C7" s="36">
        <v>685552490</v>
      </c>
      <c r="D7" s="36">
        <v>271481530</v>
      </c>
      <c r="E7" s="36">
        <v>35314319</v>
      </c>
      <c r="F7" s="36">
        <f>D7+E7</f>
        <v>306795849</v>
      </c>
      <c r="G7" s="30">
        <f>F7/C7</f>
        <v>0.44751620550601456</v>
      </c>
      <c r="H7" s="11"/>
      <c r="I7" s="50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29.4" thickBot="1" x14ac:dyDescent="0.35">
      <c r="A8" s="24">
        <v>2</v>
      </c>
      <c r="B8" s="29" t="s">
        <v>11</v>
      </c>
      <c r="C8" s="36">
        <v>1008395950</v>
      </c>
      <c r="D8" s="36">
        <v>477277061</v>
      </c>
      <c r="E8" s="36">
        <v>235126413</v>
      </c>
      <c r="F8" s="36">
        <f t="shared" ref="F8:F55" si="0">D8+E8</f>
        <v>712403474</v>
      </c>
      <c r="G8" s="30">
        <f>F8/C8</f>
        <v>0.70647197065795431</v>
      </c>
      <c r="H8" s="11"/>
      <c r="I8" s="5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29.4" thickBot="1" x14ac:dyDescent="0.35">
      <c r="A9" s="24">
        <v>3</v>
      </c>
      <c r="B9" s="29" t="s">
        <v>12</v>
      </c>
      <c r="C9" s="36">
        <v>29342843618</v>
      </c>
      <c r="D9" s="36">
        <v>25986569308</v>
      </c>
      <c r="E9" s="36">
        <v>10745827</v>
      </c>
      <c r="F9" s="36">
        <f t="shared" si="0"/>
        <v>25997315135</v>
      </c>
      <c r="G9" s="30">
        <f t="shared" ref="G9:G56" si="1">F9/C9</f>
        <v>0.88598485795876558</v>
      </c>
      <c r="H9" s="11"/>
      <c r="I9" s="50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5" thickBot="1" x14ac:dyDescent="0.35">
      <c r="A10" s="24">
        <v>4</v>
      </c>
      <c r="B10" s="29" t="s">
        <v>13</v>
      </c>
      <c r="C10" s="36">
        <v>8411607000</v>
      </c>
      <c r="D10" s="36">
        <v>7818731188</v>
      </c>
      <c r="E10" s="36">
        <v>0</v>
      </c>
      <c r="F10" s="36">
        <f t="shared" si="0"/>
        <v>7818731188</v>
      </c>
      <c r="G10" s="30">
        <f t="shared" si="1"/>
        <v>0.92951693867771046</v>
      </c>
      <c r="H10" s="11"/>
      <c r="I10" s="50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29.4" thickBot="1" x14ac:dyDescent="0.35">
      <c r="A11" s="24">
        <v>5</v>
      </c>
      <c r="B11" s="29" t="s">
        <v>14</v>
      </c>
      <c r="C11" s="36">
        <v>101257044</v>
      </c>
      <c r="D11" s="36">
        <v>43995006</v>
      </c>
      <c r="E11" s="36">
        <v>0</v>
      </c>
      <c r="F11" s="36">
        <f t="shared" si="0"/>
        <v>43995006</v>
      </c>
      <c r="G11" s="30">
        <f t="shared" si="1"/>
        <v>0.4344883502623284</v>
      </c>
      <c r="H11" s="11"/>
      <c r="I11" s="50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29.4" thickBot="1" x14ac:dyDescent="0.35">
      <c r="A12" s="24">
        <v>6</v>
      </c>
      <c r="B12" s="29" t="s">
        <v>15</v>
      </c>
      <c r="C12" s="36">
        <v>10438503160</v>
      </c>
      <c r="D12" s="36">
        <v>3640828742</v>
      </c>
      <c r="E12" s="36">
        <v>443493423</v>
      </c>
      <c r="F12" s="36">
        <f t="shared" si="0"/>
        <v>4084322165</v>
      </c>
      <c r="G12" s="30">
        <f t="shared" si="1"/>
        <v>0.39127469737720516</v>
      </c>
      <c r="H12" s="11"/>
      <c r="I12" s="5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30.75" customHeight="1" thickBot="1" x14ac:dyDescent="0.35">
      <c r="A13" s="24">
        <v>7</v>
      </c>
      <c r="B13" s="29" t="s">
        <v>16</v>
      </c>
      <c r="C13" s="36">
        <v>4365307833</v>
      </c>
      <c r="D13" s="36">
        <v>2654325022</v>
      </c>
      <c r="E13" s="36">
        <v>0</v>
      </c>
      <c r="F13" s="36">
        <f t="shared" si="0"/>
        <v>2654325022</v>
      </c>
      <c r="G13" s="30">
        <f t="shared" si="1"/>
        <v>0.60804990702702633</v>
      </c>
      <c r="H13" s="11"/>
      <c r="I13" s="50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" thickBot="1" x14ac:dyDescent="0.35">
      <c r="A14" s="24">
        <v>8</v>
      </c>
      <c r="B14" s="29" t="s">
        <v>17</v>
      </c>
      <c r="C14" s="36">
        <v>1600884600</v>
      </c>
      <c r="D14" s="36">
        <v>1339652146</v>
      </c>
      <c r="E14" s="36">
        <v>46574379</v>
      </c>
      <c r="F14" s="36">
        <f t="shared" si="0"/>
        <v>1386226525</v>
      </c>
      <c r="G14" s="30">
        <f t="shared" si="1"/>
        <v>0.8659128365654839</v>
      </c>
      <c r="H14" s="11"/>
      <c r="I14" s="50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29.4" thickBot="1" x14ac:dyDescent="0.35">
      <c r="A15" s="24">
        <v>9</v>
      </c>
      <c r="B15" s="29" t="s">
        <v>18</v>
      </c>
      <c r="C15" s="36">
        <v>2044085839</v>
      </c>
      <c r="D15" s="36">
        <v>706986543</v>
      </c>
      <c r="E15" s="36">
        <v>20545675</v>
      </c>
      <c r="F15" s="36">
        <f t="shared" si="0"/>
        <v>727532218</v>
      </c>
      <c r="G15" s="30">
        <f t="shared" si="1"/>
        <v>0.35592058030005264</v>
      </c>
      <c r="H15" s="11"/>
      <c r="I15" s="50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29.4" thickBot="1" x14ac:dyDescent="0.35">
      <c r="A16" s="24">
        <v>10</v>
      </c>
      <c r="B16" s="29" t="s">
        <v>19</v>
      </c>
      <c r="C16" s="36">
        <v>274343200</v>
      </c>
      <c r="D16" s="36">
        <v>38636222</v>
      </c>
      <c r="E16" s="36">
        <v>0</v>
      </c>
      <c r="F16" s="36">
        <f t="shared" si="0"/>
        <v>38636222</v>
      </c>
      <c r="G16" s="30">
        <f t="shared" si="1"/>
        <v>0.14083171006243275</v>
      </c>
      <c r="H16" s="11"/>
      <c r="I16" s="5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" thickBot="1" x14ac:dyDescent="0.35">
      <c r="A17" s="24">
        <v>11</v>
      </c>
      <c r="B17" s="29" t="s">
        <v>20</v>
      </c>
      <c r="C17" s="36">
        <v>288987000</v>
      </c>
      <c r="D17" s="36">
        <v>0</v>
      </c>
      <c r="E17" s="36">
        <v>0</v>
      </c>
      <c r="F17" s="36">
        <f t="shared" si="0"/>
        <v>0</v>
      </c>
      <c r="G17" s="30">
        <f t="shared" si="1"/>
        <v>0</v>
      </c>
      <c r="H17" s="11"/>
      <c r="I17" s="50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" thickBot="1" x14ac:dyDescent="0.35">
      <c r="A18" s="24">
        <v>12</v>
      </c>
      <c r="B18" s="29" t="s">
        <v>21</v>
      </c>
      <c r="C18" s="36">
        <v>328213600</v>
      </c>
      <c r="D18" s="36">
        <v>45542502</v>
      </c>
      <c r="E18" s="36">
        <v>0</v>
      </c>
      <c r="F18" s="36">
        <f t="shared" si="0"/>
        <v>45542502</v>
      </c>
      <c r="G18" s="30">
        <f t="shared" si="1"/>
        <v>0.13875872907155584</v>
      </c>
      <c r="H18" s="11"/>
      <c r="I18" s="50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" thickBot="1" x14ac:dyDescent="0.35">
      <c r="A19" s="24">
        <v>13</v>
      </c>
      <c r="B19" s="29" t="s">
        <v>22</v>
      </c>
      <c r="C19" s="36">
        <v>15590893700</v>
      </c>
      <c r="D19" s="36">
        <v>3056913241</v>
      </c>
      <c r="E19" s="36">
        <v>9101667</v>
      </c>
      <c r="F19" s="36">
        <f t="shared" si="0"/>
        <v>3066014908</v>
      </c>
      <c r="G19" s="30">
        <f t="shared" si="1"/>
        <v>0.19665421155427415</v>
      </c>
      <c r="H19" s="11"/>
      <c r="I19" s="50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" thickBot="1" x14ac:dyDescent="0.35">
      <c r="A20" s="24">
        <v>14</v>
      </c>
      <c r="B20" s="29" t="s">
        <v>23</v>
      </c>
      <c r="C20" s="36">
        <v>250366320</v>
      </c>
      <c r="D20" s="36">
        <v>0</v>
      </c>
      <c r="E20" s="36">
        <v>0</v>
      </c>
      <c r="F20" s="36">
        <f t="shared" si="0"/>
        <v>0</v>
      </c>
      <c r="G20" s="30">
        <f t="shared" si="1"/>
        <v>0</v>
      </c>
      <c r="H20" s="11"/>
      <c r="I20" s="50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29.4" thickBot="1" x14ac:dyDescent="0.35">
      <c r="A21" s="24">
        <v>15</v>
      </c>
      <c r="B21" s="29" t="s">
        <v>24</v>
      </c>
      <c r="C21" s="36">
        <v>344442400</v>
      </c>
      <c r="D21" s="36">
        <v>98841360</v>
      </c>
      <c r="E21" s="36">
        <v>12999204</v>
      </c>
      <c r="F21" s="36">
        <f t="shared" si="0"/>
        <v>111840564</v>
      </c>
      <c r="G21" s="30">
        <f t="shared" si="1"/>
        <v>0.32470033886652744</v>
      </c>
      <c r="H21" s="11"/>
      <c r="I21" s="50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29.4" thickBot="1" x14ac:dyDescent="0.35">
      <c r="A22" s="24">
        <v>16</v>
      </c>
      <c r="B22" s="29" t="s">
        <v>4</v>
      </c>
      <c r="C22" s="36">
        <v>288888400</v>
      </c>
      <c r="D22" s="36">
        <v>112035761</v>
      </c>
      <c r="E22" s="36">
        <v>3010457</v>
      </c>
      <c r="F22" s="36">
        <f t="shared" si="0"/>
        <v>115046218</v>
      </c>
      <c r="G22" s="30">
        <f t="shared" si="1"/>
        <v>0.39823758240206253</v>
      </c>
      <c r="H22" s="11"/>
      <c r="I22" s="50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" thickBot="1" x14ac:dyDescent="0.35">
      <c r="A23" s="24">
        <v>17</v>
      </c>
      <c r="B23" s="29" t="s">
        <v>25</v>
      </c>
      <c r="C23" s="36">
        <v>566792000</v>
      </c>
      <c r="D23" s="36">
        <v>0</v>
      </c>
      <c r="E23" s="36">
        <v>0</v>
      </c>
      <c r="F23" s="36">
        <f t="shared" si="0"/>
        <v>0</v>
      </c>
      <c r="G23" s="30">
        <f t="shared" si="1"/>
        <v>0</v>
      </c>
      <c r="H23" s="11"/>
      <c r="I23" s="50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" thickBot="1" x14ac:dyDescent="0.35">
      <c r="A24" s="24">
        <v>18</v>
      </c>
      <c r="B24" s="29" t="s">
        <v>26</v>
      </c>
      <c r="C24" s="36">
        <v>39398086880</v>
      </c>
      <c r="D24" s="36">
        <v>29783022265</v>
      </c>
      <c r="E24" s="36">
        <v>949571144</v>
      </c>
      <c r="F24" s="36">
        <f t="shared" si="0"/>
        <v>30732593409</v>
      </c>
      <c r="G24" s="30">
        <f t="shared" si="1"/>
        <v>0.78005293766182993</v>
      </c>
      <c r="H24" s="11"/>
      <c r="I24" s="50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29.4" thickBot="1" x14ac:dyDescent="0.35">
      <c r="A25" s="24">
        <v>19</v>
      </c>
      <c r="B25" s="29" t="s">
        <v>27</v>
      </c>
      <c r="C25" s="36">
        <v>2553473600</v>
      </c>
      <c r="D25" s="36">
        <v>602341111</v>
      </c>
      <c r="E25" s="36">
        <v>16926359</v>
      </c>
      <c r="F25" s="36">
        <f t="shared" si="0"/>
        <v>619267470</v>
      </c>
      <c r="G25" s="30">
        <f t="shared" si="1"/>
        <v>0.2425196289477988</v>
      </c>
      <c r="H25" s="11"/>
      <c r="I25" s="50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29.4" thickBot="1" x14ac:dyDescent="0.35">
      <c r="A26" s="24">
        <v>20</v>
      </c>
      <c r="B26" s="29" t="s">
        <v>28</v>
      </c>
      <c r="C26" s="36">
        <v>698675649</v>
      </c>
      <c r="D26" s="36">
        <v>0</v>
      </c>
      <c r="E26" s="36">
        <v>0</v>
      </c>
      <c r="F26" s="36">
        <f t="shared" si="0"/>
        <v>0</v>
      </c>
      <c r="G26" s="30">
        <f t="shared" si="1"/>
        <v>0</v>
      </c>
      <c r="H26" s="11"/>
      <c r="I26" s="50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" thickBot="1" x14ac:dyDescent="0.35">
      <c r="A27" s="24">
        <v>21</v>
      </c>
      <c r="B27" s="29" t="s">
        <v>29</v>
      </c>
      <c r="C27" s="36">
        <v>343570100</v>
      </c>
      <c r="D27" s="36">
        <v>0</v>
      </c>
      <c r="E27" s="36">
        <v>0</v>
      </c>
      <c r="F27" s="36">
        <f t="shared" si="0"/>
        <v>0</v>
      </c>
      <c r="G27" s="30">
        <f t="shared" si="1"/>
        <v>0</v>
      </c>
      <c r="H27" s="11"/>
      <c r="I27" s="50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7.25" customHeight="1" thickBot="1" x14ac:dyDescent="0.35">
      <c r="A28" s="24">
        <v>22</v>
      </c>
      <c r="B28" s="29" t="s">
        <v>30</v>
      </c>
      <c r="C28" s="36">
        <v>1454655918</v>
      </c>
      <c r="D28" s="36">
        <v>943345043</v>
      </c>
      <c r="E28" s="36">
        <v>116894649</v>
      </c>
      <c r="F28" s="36">
        <f t="shared" si="0"/>
        <v>1060239692</v>
      </c>
      <c r="G28" s="30">
        <f t="shared" si="1"/>
        <v>0.72885943602231296</v>
      </c>
      <c r="H28" s="11"/>
      <c r="I28" s="50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29.4" thickBot="1" x14ac:dyDescent="0.35">
      <c r="A29" s="24">
        <v>23</v>
      </c>
      <c r="B29" s="29" t="s">
        <v>31</v>
      </c>
      <c r="C29" s="36">
        <v>287743880</v>
      </c>
      <c r="D29" s="36">
        <v>192625600</v>
      </c>
      <c r="E29" s="36">
        <v>0</v>
      </c>
      <c r="F29" s="36">
        <f t="shared" si="0"/>
        <v>192625600</v>
      </c>
      <c r="G29" s="30">
        <f t="shared" si="1"/>
        <v>0.66943422046022316</v>
      </c>
      <c r="H29" s="11"/>
      <c r="I29" s="50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" thickBot="1" x14ac:dyDescent="0.35">
      <c r="A30" s="24">
        <v>24</v>
      </c>
      <c r="B30" s="29" t="s">
        <v>32</v>
      </c>
      <c r="C30" s="36">
        <v>15019574180</v>
      </c>
      <c r="D30" s="36">
        <v>10298410593</v>
      </c>
      <c r="E30" s="36">
        <v>70520688</v>
      </c>
      <c r="F30" s="36">
        <f t="shared" si="0"/>
        <v>10368931281</v>
      </c>
      <c r="G30" s="30">
        <f t="shared" si="1"/>
        <v>0.69036120177143401</v>
      </c>
      <c r="H30" s="11"/>
      <c r="I30" s="50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43.8" thickBot="1" x14ac:dyDescent="0.35">
      <c r="A31" s="24">
        <v>25</v>
      </c>
      <c r="B31" s="29" t="s">
        <v>88</v>
      </c>
      <c r="C31" s="36">
        <v>10412307750</v>
      </c>
      <c r="D31" s="36">
        <v>4719779999</v>
      </c>
      <c r="E31" s="36">
        <v>142554220</v>
      </c>
      <c r="F31" s="36">
        <f t="shared" si="0"/>
        <v>4862334219</v>
      </c>
      <c r="G31" s="30">
        <f t="shared" si="1"/>
        <v>0.46697949539572531</v>
      </c>
      <c r="H31" s="11"/>
      <c r="I31" s="50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29.4" thickBot="1" x14ac:dyDescent="0.35">
      <c r="A32" s="24">
        <v>26</v>
      </c>
      <c r="B32" s="29" t="s">
        <v>33</v>
      </c>
      <c r="C32" s="36">
        <v>18473255050</v>
      </c>
      <c r="D32" s="36">
        <v>9640576136</v>
      </c>
      <c r="E32" s="36">
        <v>0</v>
      </c>
      <c r="F32" s="36">
        <f t="shared" si="0"/>
        <v>9640576136</v>
      </c>
      <c r="G32" s="30">
        <f t="shared" si="1"/>
        <v>0.52186667211093374</v>
      </c>
      <c r="H32" s="11"/>
      <c r="I32" s="50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29.4" thickBot="1" x14ac:dyDescent="0.35">
      <c r="A33" s="24">
        <v>27</v>
      </c>
      <c r="B33" s="29" t="s">
        <v>34</v>
      </c>
      <c r="C33" s="36">
        <v>620940989</v>
      </c>
      <c r="D33" s="36">
        <v>269913263</v>
      </c>
      <c r="E33" s="36">
        <v>0</v>
      </c>
      <c r="F33" s="36">
        <f t="shared" si="0"/>
        <v>269913263</v>
      </c>
      <c r="G33" s="30">
        <f t="shared" si="1"/>
        <v>0.43468424179032572</v>
      </c>
      <c r="H33" s="11"/>
      <c r="I33" s="50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" thickBot="1" x14ac:dyDescent="0.35">
      <c r="A34" s="24">
        <v>28</v>
      </c>
      <c r="B34" s="29" t="s">
        <v>35</v>
      </c>
      <c r="C34" s="36">
        <v>3051758100</v>
      </c>
      <c r="D34" s="36">
        <v>667166520</v>
      </c>
      <c r="E34" s="36">
        <v>40611495</v>
      </c>
      <c r="F34" s="36">
        <f t="shared" si="0"/>
        <v>707778015</v>
      </c>
      <c r="G34" s="30">
        <f t="shared" si="1"/>
        <v>0.23192467810603992</v>
      </c>
      <c r="H34" s="11"/>
      <c r="I34" s="50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29.4" thickBot="1" x14ac:dyDescent="0.35">
      <c r="A35" s="24">
        <v>29</v>
      </c>
      <c r="B35" s="29" t="s">
        <v>36</v>
      </c>
      <c r="C35" s="36">
        <v>976900000</v>
      </c>
      <c r="D35" s="36">
        <v>417793257</v>
      </c>
      <c r="E35" s="36">
        <v>193635060</v>
      </c>
      <c r="F35" s="36">
        <f t="shared" si="0"/>
        <v>611428317</v>
      </c>
      <c r="G35" s="30">
        <f t="shared" si="1"/>
        <v>0.62588629030607024</v>
      </c>
      <c r="H35" s="11"/>
      <c r="I35" s="50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43.8" thickBot="1" x14ac:dyDescent="0.35">
      <c r="A36" s="24">
        <v>30</v>
      </c>
      <c r="B36" s="29" t="s">
        <v>37</v>
      </c>
      <c r="C36" s="36">
        <v>1434779588</v>
      </c>
      <c r="D36" s="36">
        <v>428995650</v>
      </c>
      <c r="E36" s="36">
        <v>0</v>
      </c>
      <c r="F36" s="36">
        <f t="shared" si="0"/>
        <v>428995650</v>
      </c>
      <c r="G36" s="30">
        <f t="shared" si="1"/>
        <v>0.29899759767142714</v>
      </c>
      <c r="H36" s="11"/>
      <c r="I36" s="50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43.8" thickBot="1" x14ac:dyDescent="0.35">
      <c r="A37" s="24">
        <v>31</v>
      </c>
      <c r="B37" s="29" t="s">
        <v>38</v>
      </c>
      <c r="C37" s="36">
        <v>863233000</v>
      </c>
      <c r="D37" s="36">
        <v>327590401</v>
      </c>
      <c r="E37" s="36">
        <v>7728042</v>
      </c>
      <c r="F37" s="36">
        <f t="shared" si="0"/>
        <v>335318443</v>
      </c>
      <c r="G37" s="30">
        <f t="shared" si="1"/>
        <v>0.38844488452132853</v>
      </c>
      <c r="H37" s="11"/>
      <c r="I37" s="50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8.75" customHeight="1" thickBot="1" x14ac:dyDescent="0.35">
      <c r="A38" s="24">
        <v>32</v>
      </c>
      <c r="B38" s="29" t="s">
        <v>39</v>
      </c>
      <c r="C38" s="36">
        <v>1930882826</v>
      </c>
      <c r="D38" s="36">
        <v>447070657</v>
      </c>
      <c r="E38" s="36">
        <v>0</v>
      </c>
      <c r="F38" s="36">
        <f t="shared" si="0"/>
        <v>447070657</v>
      </c>
      <c r="G38" s="30">
        <f t="shared" si="1"/>
        <v>0.23153691719665231</v>
      </c>
      <c r="H38" s="11"/>
      <c r="I38" s="50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29.4" thickBot="1" x14ac:dyDescent="0.35">
      <c r="A39" s="24">
        <v>33</v>
      </c>
      <c r="B39" s="29" t="s">
        <v>5</v>
      </c>
      <c r="C39" s="36">
        <v>885429400</v>
      </c>
      <c r="D39" s="36">
        <v>386864739</v>
      </c>
      <c r="E39" s="36">
        <v>84317458</v>
      </c>
      <c r="F39" s="36">
        <f t="shared" si="0"/>
        <v>471182197</v>
      </c>
      <c r="G39" s="30">
        <f t="shared" si="1"/>
        <v>0.53215106365340925</v>
      </c>
      <c r="H39" s="11"/>
      <c r="I39" s="50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29.4" thickBot="1" x14ac:dyDescent="0.35">
      <c r="A40" s="24">
        <v>34</v>
      </c>
      <c r="B40" s="29" t="s">
        <v>6</v>
      </c>
      <c r="C40" s="36">
        <v>346951898499</v>
      </c>
      <c r="D40" s="36">
        <v>1447467942</v>
      </c>
      <c r="E40" s="36">
        <v>384753285</v>
      </c>
      <c r="F40" s="36">
        <f t="shared" si="0"/>
        <v>1832221227</v>
      </c>
      <c r="G40" s="30">
        <f t="shared" si="1"/>
        <v>5.2809084917149716E-3</v>
      </c>
      <c r="H40" s="11"/>
      <c r="I40" s="50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29.4" thickBot="1" x14ac:dyDescent="0.35">
      <c r="A41" s="24">
        <v>35</v>
      </c>
      <c r="B41" s="29" t="s">
        <v>40</v>
      </c>
      <c r="C41" s="36">
        <v>1454553696</v>
      </c>
      <c r="D41" s="36">
        <v>0</v>
      </c>
      <c r="E41" s="36">
        <v>10424036</v>
      </c>
      <c r="F41" s="36">
        <f t="shared" si="0"/>
        <v>10424036</v>
      </c>
      <c r="G41" s="30">
        <f t="shared" si="1"/>
        <v>7.1664841447008363E-3</v>
      </c>
      <c r="H41" s="11"/>
      <c r="I41" s="50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" thickBot="1" x14ac:dyDescent="0.35">
      <c r="A42" s="24">
        <v>36</v>
      </c>
      <c r="B42" s="29" t="s">
        <v>41</v>
      </c>
      <c r="C42" s="36">
        <v>743121200</v>
      </c>
      <c r="D42" s="36">
        <v>703473191</v>
      </c>
      <c r="E42" s="36">
        <v>0</v>
      </c>
      <c r="F42" s="36">
        <f t="shared" si="0"/>
        <v>703473191</v>
      </c>
      <c r="G42" s="30">
        <f t="shared" si="1"/>
        <v>0.94664664525786646</v>
      </c>
      <c r="H42" s="11"/>
      <c r="I42" s="50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29.4" thickBot="1" x14ac:dyDescent="0.35">
      <c r="A43" s="24">
        <v>37</v>
      </c>
      <c r="B43" s="29" t="s">
        <v>42</v>
      </c>
      <c r="C43" s="36">
        <v>27573789800</v>
      </c>
      <c r="D43" s="36">
        <v>27268749040</v>
      </c>
      <c r="E43" s="36">
        <v>41883138</v>
      </c>
      <c r="F43" s="36">
        <f t="shared" si="0"/>
        <v>27310632178</v>
      </c>
      <c r="G43" s="30">
        <f t="shared" si="1"/>
        <v>0.99045624036780033</v>
      </c>
      <c r="H43" s="11"/>
      <c r="I43" s="50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" thickBot="1" x14ac:dyDescent="0.35">
      <c r="A44" s="24">
        <v>38</v>
      </c>
      <c r="B44" s="29" t="s">
        <v>43</v>
      </c>
      <c r="C44" s="36">
        <v>956342171</v>
      </c>
      <c r="D44" s="36">
        <v>63576065</v>
      </c>
      <c r="E44" s="36">
        <v>0</v>
      </c>
      <c r="F44" s="36">
        <f t="shared" si="0"/>
        <v>63576065</v>
      </c>
      <c r="G44" s="30">
        <f t="shared" si="1"/>
        <v>6.6478366141191528E-2</v>
      </c>
      <c r="H44" s="11"/>
      <c r="I44" s="50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29.4" thickBot="1" x14ac:dyDescent="0.35">
      <c r="A45" s="24">
        <v>39</v>
      </c>
      <c r="B45" s="29" t="s">
        <v>44</v>
      </c>
      <c r="C45" s="36">
        <v>1332226375</v>
      </c>
      <c r="D45" s="36">
        <v>538048820</v>
      </c>
      <c r="E45" s="36">
        <v>213774730</v>
      </c>
      <c r="F45" s="36">
        <f t="shared" si="0"/>
        <v>751823550</v>
      </c>
      <c r="G45" s="30">
        <f t="shared" si="1"/>
        <v>0.56433618498207561</v>
      </c>
      <c r="H45" s="11"/>
      <c r="I45" s="50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32.25" customHeight="1" thickBot="1" x14ac:dyDescent="0.35">
      <c r="A46" s="24">
        <v>40</v>
      </c>
      <c r="B46" s="29" t="s">
        <v>45</v>
      </c>
      <c r="C46" s="36">
        <v>735406075</v>
      </c>
      <c r="D46" s="36">
        <v>0</v>
      </c>
      <c r="E46" s="36">
        <v>0</v>
      </c>
      <c r="F46" s="36">
        <f t="shared" si="0"/>
        <v>0</v>
      </c>
      <c r="G46" s="30">
        <f t="shared" si="1"/>
        <v>0</v>
      </c>
      <c r="H46" s="11"/>
      <c r="I46" s="50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29.4" thickBot="1" x14ac:dyDescent="0.35">
      <c r="A47" s="24">
        <v>41</v>
      </c>
      <c r="B47" s="29" t="s">
        <v>46</v>
      </c>
      <c r="C47" s="36">
        <v>4922693116</v>
      </c>
      <c r="D47" s="36">
        <v>2358858148</v>
      </c>
      <c r="E47" s="36">
        <v>417496800</v>
      </c>
      <c r="F47" s="36">
        <f t="shared" si="0"/>
        <v>2776354948</v>
      </c>
      <c r="G47" s="30">
        <f t="shared" si="1"/>
        <v>0.56399106801440513</v>
      </c>
      <c r="H47" s="11"/>
      <c r="I47" s="50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" thickBot="1" x14ac:dyDescent="0.35">
      <c r="A48" s="24">
        <v>42</v>
      </c>
      <c r="B48" s="29" t="s">
        <v>47</v>
      </c>
      <c r="C48" s="36">
        <v>7963879500</v>
      </c>
      <c r="D48" s="36">
        <v>4168108987</v>
      </c>
      <c r="E48" s="36">
        <v>513235584</v>
      </c>
      <c r="F48" s="36">
        <f t="shared" si="0"/>
        <v>4681344571</v>
      </c>
      <c r="G48" s="30">
        <f t="shared" si="1"/>
        <v>0.58782212500829523</v>
      </c>
      <c r="H48" s="11"/>
      <c r="I48" s="50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" thickBot="1" x14ac:dyDescent="0.35">
      <c r="A49" s="24">
        <v>43</v>
      </c>
      <c r="B49" s="29" t="s">
        <v>48</v>
      </c>
      <c r="C49" s="36">
        <v>6840519200</v>
      </c>
      <c r="D49" s="36">
        <v>3376304755</v>
      </c>
      <c r="E49" s="36">
        <v>39543202</v>
      </c>
      <c r="F49" s="36">
        <f t="shared" si="0"/>
        <v>3415847957</v>
      </c>
      <c r="G49" s="30">
        <f t="shared" si="1"/>
        <v>0.49935507190740724</v>
      </c>
      <c r="H49" s="11"/>
      <c r="I49" s="50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" thickBot="1" x14ac:dyDescent="0.35">
      <c r="A50" s="24">
        <v>44</v>
      </c>
      <c r="B50" s="29" t="s">
        <v>7</v>
      </c>
      <c r="C50" s="36">
        <v>632401800</v>
      </c>
      <c r="D50" s="36">
        <v>283173148</v>
      </c>
      <c r="E50" s="36">
        <v>31679230</v>
      </c>
      <c r="F50" s="36">
        <f t="shared" si="0"/>
        <v>314852378</v>
      </c>
      <c r="G50" s="30">
        <f t="shared" si="1"/>
        <v>0.49786761834011223</v>
      </c>
      <c r="H50" s="11"/>
      <c r="I50" s="50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" thickBot="1" x14ac:dyDescent="0.35">
      <c r="A51" s="24">
        <v>45</v>
      </c>
      <c r="B51" s="29" t="s">
        <v>49</v>
      </c>
      <c r="C51" s="36">
        <v>14113324237</v>
      </c>
      <c r="D51" s="36">
        <v>7261948636</v>
      </c>
      <c r="E51" s="36">
        <v>426707804</v>
      </c>
      <c r="F51" s="36">
        <f t="shared" si="0"/>
        <v>7688656440</v>
      </c>
      <c r="G51" s="30">
        <f t="shared" si="1"/>
        <v>0.5447799760628429</v>
      </c>
      <c r="H51" s="11"/>
      <c r="I51" s="50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29.4" thickBot="1" x14ac:dyDescent="0.35">
      <c r="A52" s="24">
        <v>46</v>
      </c>
      <c r="B52" s="29" t="s">
        <v>50</v>
      </c>
      <c r="C52" s="36">
        <v>2329704800</v>
      </c>
      <c r="D52" s="36">
        <v>1443984358</v>
      </c>
      <c r="E52" s="36">
        <v>18064600</v>
      </c>
      <c r="F52" s="36">
        <f t="shared" si="0"/>
        <v>1462048958</v>
      </c>
      <c r="G52" s="30">
        <f t="shared" si="1"/>
        <v>0.62756833312100313</v>
      </c>
      <c r="H52" s="11"/>
      <c r="I52" s="50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29.4" thickBot="1" x14ac:dyDescent="0.35">
      <c r="A53" s="24">
        <v>47</v>
      </c>
      <c r="B53" s="29" t="s">
        <v>51</v>
      </c>
      <c r="C53" s="36">
        <v>231600847457</v>
      </c>
      <c r="D53" s="36">
        <v>107111703278</v>
      </c>
      <c r="E53" s="36">
        <v>8961499273</v>
      </c>
      <c r="F53" s="36">
        <f t="shared" si="0"/>
        <v>116073202551</v>
      </c>
      <c r="G53" s="30">
        <f t="shared" si="1"/>
        <v>0.50117779716911726</v>
      </c>
      <c r="H53" s="11"/>
      <c r="I53" s="50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" thickBot="1" x14ac:dyDescent="0.35">
      <c r="A54" s="24">
        <v>48</v>
      </c>
      <c r="B54" s="29" t="s">
        <v>52</v>
      </c>
      <c r="C54" s="36">
        <v>850901664</v>
      </c>
      <c r="D54" s="36">
        <v>0</v>
      </c>
      <c r="E54" s="36">
        <v>360140958</v>
      </c>
      <c r="F54" s="36">
        <f t="shared" si="0"/>
        <v>360140958</v>
      </c>
      <c r="G54" s="30">
        <f t="shared" si="1"/>
        <v>0.42324627302644457</v>
      </c>
      <c r="H54" s="11"/>
      <c r="I54" s="50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" thickBot="1" x14ac:dyDescent="0.35">
      <c r="A55" s="24">
        <v>49</v>
      </c>
      <c r="B55" s="29" t="s">
        <v>53</v>
      </c>
      <c r="C55" s="36">
        <v>171903846409</v>
      </c>
      <c r="D55" s="36">
        <v>15052122855</v>
      </c>
      <c r="E55" s="36">
        <v>354214710</v>
      </c>
      <c r="F55" s="36">
        <f t="shared" si="0"/>
        <v>15406337565</v>
      </c>
      <c r="G55" s="30">
        <f t="shared" si="1"/>
        <v>8.9621831546134637E-2</v>
      </c>
      <c r="H55" s="11"/>
      <c r="I55" s="50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s="14" customFormat="1" ht="15" thickBot="1" x14ac:dyDescent="0.35">
      <c r="A56" s="41"/>
      <c r="B56" s="3" t="s">
        <v>8</v>
      </c>
      <c r="C56" s="51">
        <f>SUM(C7:C55)</f>
        <v>995242087063</v>
      </c>
      <c r="D56" s="51">
        <f>SUM(D7:D55)</f>
        <v>276494830089</v>
      </c>
      <c r="E56" s="51">
        <f>SUM(E7:E55)</f>
        <v>14213087829</v>
      </c>
      <c r="F56" s="51">
        <f>SUM(F7:F55)</f>
        <v>290707917918</v>
      </c>
      <c r="G56" s="42">
        <f t="shared" si="1"/>
        <v>0.29209769331187646</v>
      </c>
      <c r="H56" s="39"/>
      <c r="I56" s="40"/>
      <c r="J56" s="40"/>
      <c r="K56" s="40"/>
      <c r="L56" s="40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spans="1:28" ht="15" thickBot="1" x14ac:dyDescent="0.35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1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" thickBot="1" x14ac:dyDescent="0.35">
      <c r="B58" s="98" t="s">
        <v>70</v>
      </c>
      <c r="C58" s="98"/>
      <c r="D58" s="98"/>
      <c r="E58" s="98"/>
      <c r="F58" s="98"/>
      <c r="G58" s="98"/>
      <c r="H58" s="18"/>
      <c r="I58" s="18"/>
      <c r="J58" s="18"/>
      <c r="K58" s="18"/>
      <c r="L58" s="18"/>
      <c r="M58" s="11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" thickBot="1" x14ac:dyDescent="0.35">
      <c r="B59" s="18" t="s">
        <v>69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1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" thickBot="1" x14ac:dyDescent="0.35">
      <c r="B60" s="18" t="s">
        <v>71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1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" thickBot="1" x14ac:dyDescent="0.35">
      <c r="B61" s="98" t="s">
        <v>72</v>
      </c>
      <c r="C61" s="98"/>
      <c r="D61" s="98"/>
      <c r="E61" s="98"/>
      <c r="F61" s="98"/>
      <c r="G61" s="98"/>
      <c r="H61" s="18"/>
      <c r="I61" s="18"/>
      <c r="J61" s="18"/>
      <c r="K61" s="18"/>
      <c r="L61" s="18"/>
      <c r="M61" s="11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" thickBot="1" x14ac:dyDescent="0.35">
      <c r="B62" s="98" t="s">
        <v>74</v>
      </c>
      <c r="C62" s="98"/>
      <c r="D62" s="98"/>
      <c r="E62" s="98"/>
      <c r="F62" s="98"/>
      <c r="G62" s="98"/>
      <c r="H62" s="18"/>
      <c r="I62" s="18"/>
      <c r="J62" s="18"/>
      <c r="K62" s="18"/>
      <c r="L62" s="18"/>
      <c r="M62" s="11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" thickBot="1" x14ac:dyDescent="0.35">
      <c r="B63" s="98" t="s">
        <v>73</v>
      </c>
      <c r="C63" s="98"/>
      <c r="D63" s="98"/>
      <c r="E63" s="98"/>
      <c r="F63" s="98"/>
      <c r="G63" s="98"/>
      <c r="H63" s="18"/>
      <c r="I63" s="18"/>
      <c r="J63" s="18"/>
      <c r="K63" s="18"/>
      <c r="L63" s="18"/>
      <c r="M63" s="11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" thickBot="1" x14ac:dyDescent="0.35">
      <c r="B64" s="98" t="s">
        <v>76</v>
      </c>
      <c r="C64" s="98"/>
      <c r="D64" s="98"/>
      <c r="E64" s="98"/>
      <c r="F64" s="98"/>
      <c r="G64" s="98"/>
      <c r="H64" s="18"/>
      <c r="I64" s="18"/>
      <c r="J64" s="18"/>
      <c r="K64" s="18"/>
      <c r="L64" s="18"/>
      <c r="M64" s="11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2:28" ht="15" thickBot="1" x14ac:dyDescent="0.35">
      <c r="B65" s="98" t="s">
        <v>75</v>
      </c>
      <c r="C65" s="98"/>
      <c r="D65" s="98"/>
      <c r="E65" s="98"/>
      <c r="F65" s="98"/>
      <c r="G65" s="98"/>
      <c r="H65" s="18"/>
      <c r="I65" s="18"/>
      <c r="J65" s="18"/>
      <c r="K65" s="18"/>
      <c r="L65" s="18"/>
      <c r="M65" s="11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2:28" ht="15" thickBot="1" x14ac:dyDescent="0.35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1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2:28" ht="15" thickBot="1" x14ac:dyDescent="0.35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1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2:28" ht="15" thickBot="1" x14ac:dyDescent="0.35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1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2:28" ht="15" thickBot="1" x14ac:dyDescent="0.35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1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2:28" ht="15" thickBot="1" x14ac:dyDescent="0.35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1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2:28" ht="15" thickBot="1" x14ac:dyDescent="0.35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1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2:28" ht="15" thickBot="1" x14ac:dyDescent="0.35"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1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2:28" ht="15" thickBot="1" x14ac:dyDescent="0.3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1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15" thickBot="1" x14ac:dyDescent="0.3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1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15" thickBot="1" x14ac:dyDescent="0.35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1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15" thickBot="1" x14ac:dyDescent="0.35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1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15" thickBot="1" x14ac:dyDescent="0.35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1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15" thickBot="1" x14ac:dyDescent="0.3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1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15" thickBot="1" x14ac:dyDescent="0.35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1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15" thickBot="1" x14ac:dyDescent="0.35"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1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ht="15" thickBot="1" x14ac:dyDescent="0.35"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1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2:28" ht="15" thickBot="1" x14ac:dyDescent="0.35"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1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2:28" ht="15" thickBot="1" x14ac:dyDescent="0.35"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1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2:28" ht="15" thickBot="1" x14ac:dyDescent="0.35"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1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2:28" ht="15" thickBot="1" x14ac:dyDescent="0.35"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1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2:28" ht="15" thickBot="1" x14ac:dyDescent="0.3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1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2:28" ht="15" thickBot="1" x14ac:dyDescent="0.3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1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2:28" ht="15" thickBot="1" x14ac:dyDescent="0.3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1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2:28" ht="15" thickBot="1" x14ac:dyDescent="0.35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1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2:28" ht="15" thickBot="1" x14ac:dyDescent="0.35"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1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2:28" ht="15" thickBot="1" x14ac:dyDescent="0.35"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1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2:28" ht="15" thickBot="1" x14ac:dyDescent="0.35"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1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2:28" ht="15" thickBot="1" x14ac:dyDescent="0.35"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1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2:28" ht="15" thickBot="1" x14ac:dyDescent="0.35"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1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2:28" ht="15" thickBot="1" x14ac:dyDescent="0.35"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1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2:28" ht="15" thickBot="1" x14ac:dyDescent="0.35"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1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2:28" ht="15" thickBot="1" x14ac:dyDescent="0.35"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1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2:28" ht="15" thickBot="1" x14ac:dyDescent="0.35"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1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2:28" ht="15" thickBot="1" x14ac:dyDescent="0.35"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1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2:28" ht="15" thickBot="1" x14ac:dyDescent="0.35"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1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2:28" ht="15" thickBot="1" x14ac:dyDescent="0.35"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1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2:28" ht="15" thickBot="1" x14ac:dyDescent="0.35"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1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2:28" ht="15" thickBot="1" x14ac:dyDescent="0.35"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1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2:28" ht="15" thickBot="1" x14ac:dyDescent="0.35"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1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2:28" ht="15" thickBot="1" x14ac:dyDescent="0.35"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1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2:28" ht="15" thickBot="1" x14ac:dyDescent="0.35"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1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2:28" ht="15" thickBot="1" x14ac:dyDescent="0.35"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1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2:28" ht="15" thickBot="1" x14ac:dyDescent="0.35"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1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2:28" ht="15" thickBot="1" x14ac:dyDescent="0.35"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1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2:28" ht="15" thickBot="1" x14ac:dyDescent="0.35"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1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2:28" ht="15" thickBot="1" x14ac:dyDescent="0.35"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1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2:28" ht="15" thickBot="1" x14ac:dyDescent="0.35"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1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2:28" ht="15" thickBot="1" x14ac:dyDescent="0.35"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1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2:28" ht="15" thickBot="1" x14ac:dyDescent="0.35"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1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2:28" ht="15" thickBot="1" x14ac:dyDescent="0.35"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1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2:28" ht="15" thickBot="1" x14ac:dyDescent="0.35"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1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2:28" ht="15" thickBot="1" x14ac:dyDescent="0.35"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1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2:28" ht="15" thickBot="1" x14ac:dyDescent="0.35"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1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2:28" ht="15" thickBot="1" x14ac:dyDescent="0.35"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1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2:28" ht="15" thickBot="1" x14ac:dyDescent="0.35"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1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2:28" ht="15" thickBot="1" x14ac:dyDescent="0.35"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1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2:28" ht="15" thickBot="1" x14ac:dyDescent="0.35"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1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2:28" ht="15" thickBot="1" x14ac:dyDescent="0.35"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1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2:28" ht="15" thickBot="1" x14ac:dyDescent="0.35"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1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2:28" ht="15" thickBot="1" x14ac:dyDescent="0.35"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1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2:28" ht="15" thickBot="1" x14ac:dyDescent="0.35"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1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2:28" ht="15" thickBot="1" x14ac:dyDescent="0.35"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1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2:28" ht="15" thickBot="1" x14ac:dyDescent="0.35"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1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2:28" ht="15" thickBot="1" x14ac:dyDescent="0.35"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1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2:28" ht="15" thickBot="1" x14ac:dyDescent="0.35"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1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2:28" ht="15" thickBot="1" x14ac:dyDescent="0.35"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1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2:28" ht="15" thickBot="1" x14ac:dyDescent="0.35"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1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2:28" ht="15" thickBot="1" x14ac:dyDescent="0.35"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1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2:28" ht="15" thickBot="1" x14ac:dyDescent="0.35"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1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2:28" ht="15" thickBot="1" x14ac:dyDescent="0.3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1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2:28" ht="15" thickBot="1" x14ac:dyDescent="0.3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1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2:28" ht="15" thickBot="1" x14ac:dyDescent="0.3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1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2:28" ht="15" thickBot="1" x14ac:dyDescent="0.35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1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2:28" ht="15" thickBot="1" x14ac:dyDescent="0.35"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1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2:28" ht="15" thickBot="1" x14ac:dyDescent="0.35"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1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2:28" ht="15" thickBot="1" x14ac:dyDescent="0.35"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1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2:28" ht="15" thickBot="1" x14ac:dyDescent="0.35"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1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2:28" ht="15" thickBot="1" x14ac:dyDescent="0.35"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1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2:28" ht="15" thickBot="1" x14ac:dyDescent="0.35"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1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2:28" ht="15" thickBot="1" x14ac:dyDescent="0.35"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1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2:28" ht="15" thickBot="1" x14ac:dyDescent="0.35"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1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2:28" ht="15" thickBot="1" x14ac:dyDescent="0.35"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1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2:28" ht="15" thickBot="1" x14ac:dyDescent="0.35"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1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2:28" ht="15" thickBot="1" x14ac:dyDescent="0.35"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1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2:28" ht="15" thickBot="1" x14ac:dyDescent="0.35"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1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2:28" ht="15" thickBot="1" x14ac:dyDescent="0.35"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1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2:28" ht="15" thickBot="1" x14ac:dyDescent="0.35"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1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2:28" ht="15" thickBot="1" x14ac:dyDescent="0.35"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1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2:28" ht="15" thickBot="1" x14ac:dyDescent="0.35"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1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2:28" ht="15" thickBot="1" x14ac:dyDescent="0.35"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1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2:28" ht="15" thickBot="1" x14ac:dyDescent="0.35"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1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2:28" ht="15" thickBot="1" x14ac:dyDescent="0.35"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1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2:28" ht="15" thickBot="1" x14ac:dyDescent="0.35"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1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2:28" ht="15" thickBot="1" x14ac:dyDescent="0.35"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1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2:28" ht="15" thickBot="1" x14ac:dyDescent="0.35"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1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2:28" ht="15" thickBot="1" x14ac:dyDescent="0.35"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1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2:28" ht="15" thickBot="1" x14ac:dyDescent="0.35"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1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2:28" ht="15" thickBot="1" x14ac:dyDescent="0.35"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1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2:28" ht="15" thickBot="1" x14ac:dyDescent="0.35"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1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2:28" ht="15" thickBot="1" x14ac:dyDescent="0.35"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1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2:28" ht="15" thickBot="1" x14ac:dyDescent="0.35"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1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2:28" ht="15" thickBot="1" x14ac:dyDescent="0.35"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1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2:28" ht="15" thickBot="1" x14ac:dyDescent="0.35"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1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2:28" ht="15" thickBot="1" x14ac:dyDescent="0.35"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1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2:28" ht="15" thickBot="1" x14ac:dyDescent="0.35"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1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2:28" ht="15" thickBot="1" x14ac:dyDescent="0.35"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1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2:28" ht="15" thickBot="1" x14ac:dyDescent="0.35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1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2:28" ht="15" thickBot="1" x14ac:dyDescent="0.35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1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2:28" ht="15" thickBot="1" x14ac:dyDescent="0.35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1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2:28" ht="15" thickBot="1" x14ac:dyDescent="0.3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1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2:28" ht="15" thickBot="1" x14ac:dyDescent="0.3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1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2:28" ht="15" thickBot="1" x14ac:dyDescent="0.3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1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2:28" ht="15" thickBot="1" x14ac:dyDescent="0.35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1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2:28" ht="15" thickBot="1" x14ac:dyDescent="0.35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1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2:28" ht="15" thickBot="1" x14ac:dyDescent="0.35"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1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2:28" ht="15" thickBot="1" x14ac:dyDescent="0.35"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1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2:28" ht="15" thickBot="1" x14ac:dyDescent="0.35"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1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2:28" ht="15" thickBot="1" x14ac:dyDescent="0.35"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1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2:28" ht="15" thickBot="1" x14ac:dyDescent="0.35"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1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2:28" ht="15" thickBot="1" x14ac:dyDescent="0.35"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1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2:28" ht="15" thickBot="1" x14ac:dyDescent="0.35"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1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2:28" ht="15" thickBot="1" x14ac:dyDescent="0.35"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1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2:28" ht="15" thickBot="1" x14ac:dyDescent="0.35"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1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2:28" ht="15" thickBot="1" x14ac:dyDescent="0.35"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1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2:28" ht="15" thickBot="1" x14ac:dyDescent="0.35"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1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2:28" ht="15" thickBot="1" x14ac:dyDescent="0.35"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1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2:28" ht="15" thickBot="1" x14ac:dyDescent="0.35"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1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2:28" ht="15" thickBot="1" x14ac:dyDescent="0.35"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1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2:28" ht="15" thickBot="1" x14ac:dyDescent="0.35"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1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2:28" ht="15" thickBot="1" x14ac:dyDescent="0.35"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1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2:28" ht="15" thickBot="1" x14ac:dyDescent="0.35"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1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2:28" ht="15" thickBot="1" x14ac:dyDescent="0.35"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1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2:28" ht="15" thickBot="1" x14ac:dyDescent="0.35"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1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2:28" ht="15" thickBot="1" x14ac:dyDescent="0.35"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1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2:28" ht="15" thickBot="1" x14ac:dyDescent="0.35"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1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2:28" ht="15" thickBot="1" x14ac:dyDescent="0.35"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1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2:28" ht="15" thickBot="1" x14ac:dyDescent="0.35"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1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2:28" ht="15" thickBot="1" x14ac:dyDescent="0.35"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1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2:28" ht="15" thickBot="1" x14ac:dyDescent="0.35"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1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2:28" ht="15" thickBot="1" x14ac:dyDescent="0.35"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1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2:28" ht="15" thickBot="1" x14ac:dyDescent="0.35"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1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2:28" ht="15" thickBot="1" x14ac:dyDescent="0.35"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1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2:28" ht="15" thickBot="1" x14ac:dyDescent="0.35"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1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2:28" ht="15" thickBot="1" x14ac:dyDescent="0.3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1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2:28" ht="15" thickBot="1" x14ac:dyDescent="0.3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1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2:28" ht="15" thickBot="1" x14ac:dyDescent="0.3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1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2:28" ht="15" thickBot="1" x14ac:dyDescent="0.35"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1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2:28" ht="15" thickBot="1" x14ac:dyDescent="0.35"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1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2:28" ht="15" thickBot="1" x14ac:dyDescent="0.35"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1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2:28" ht="15" thickBot="1" x14ac:dyDescent="0.35"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1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2:28" ht="15" thickBot="1" x14ac:dyDescent="0.35"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1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2:28" ht="15" thickBot="1" x14ac:dyDescent="0.35"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1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2:28" ht="15" thickBot="1" x14ac:dyDescent="0.35"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1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2:28" ht="15" thickBot="1" x14ac:dyDescent="0.35"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1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2:28" ht="15" thickBot="1" x14ac:dyDescent="0.35"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1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2:28" ht="15" thickBot="1" x14ac:dyDescent="0.35"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1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2:28" ht="15" thickBot="1" x14ac:dyDescent="0.35"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1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2:28" ht="15" thickBot="1" x14ac:dyDescent="0.35"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1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2:28" ht="15" thickBot="1" x14ac:dyDescent="0.35"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1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2:28" ht="15" thickBot="1" x14ac:dyDescent="0.35"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1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2:28" ht="15" thickBot="1" x14ac:dyDescent="0.35"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1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2:28" ht="15" thickBot="1" x14ac:dyDescent="0.35"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1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2:28" ht="15" thickBot="1" x14ac:dyDescent="0.35"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1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2:28" ht="15" thickBot="1" x14ac:dyDescent="0.35"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1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2:28" ht="15" thickBot="1" x14ac:dyDescent="0.35"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1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2:28" ht="15" thickBot="1" x14ac:dyDescent="0.35"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1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2:28" ht="15" thickBot="1" x14ac:dyDescent="0.35"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1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2:28" ht="15" thickBot="1" x14ac:dyDescent="0.35"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1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2:28" ht="15" thickBot="1" x14ac:dyDescent="0.35"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1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2:28" ht="15" thickBot="1" x14ac:dyDescent="0.35"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1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2:28" ht="15" thickBot="1" x14ac:dyDescent="0.35"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1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2:28" ht="15" thickBot="1" x14ac:dyDescent="0.35"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1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2:28" ht="15" thickBot="1" x14ac:dyDescent="0.35"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1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2:28" ht="15" thickBot="1" x14ac:dyDescent="0.35"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1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2:28" ht="15" thickBot="1" x14ac:dyDescent="0.35"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1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2:28" ht="15" thickBot="1" x14ac:dyDescent="0.35"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1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2:28" ht="15" thickBot="1" x14ac:dyDescent="0.35"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1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2:28" ht="15" thickBot="1" x14ac:dyDescent="0.35"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1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2:28" ht="15" thickBot="1" x14ac:dyDescent="0.35"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1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2:28" ht="15" thickBot="1" x14ac:dyDescent="0.35"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1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2:28" ht="15" thickBot="1" x14ac:dyDescent="0.35"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1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2:28" ht="15" thickBot="1" x14ac:dyDescent="0.35"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1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2:28" ht="15" thickBot="1" x14ac:dyDescent="0.35"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1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2:28" ht="15" thickBot="1" x14ac:dyDescent="0.35"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1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2:28" ht="15" thickBot="1" x14ac:dyDescent="0.35"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1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2:28" ht="15" thickBot="1" x14ac:dyDescent="0.35"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1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2:28" ht="15" thickBot="1" x14ac:dyDescent="0.35"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1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2:28" ht="15" thickBot="1" x14ac:dyDescent="0.35"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1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2:28" ht="15" thickBot="1" x14ac:dyDescent="0.35"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1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2:28" ht="15" thickBot="1" x14ac:dyDescent="0.35"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1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2:28" ht="15" thickBot="1" x14ac:dyDescent="0.35"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1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2:28" ht="15" thickBot="1" x14ac:dyDescent="0.35"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1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2:28" ht="15" thickBot="1" x14ac:dyDescent="0.35"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1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2:28" ht="15" thickBot="1" x14ac:dyDescent="0.35"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1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2:28" ht="15" thickBot="1" x14ac:dyDescent="0.35"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1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2:28" ht="15" thickBot="1" x14ac:dyDescent="0.35"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1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2:28" ht="15" thickBot="1" x14ac:dyDescent="0.35"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1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2:28" ht="15" thickBot="1" x14ac:dyDescent="0.35"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1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2:28" ht="15" thickBot="1" x14ac:dyDescent="0.35"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1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2:28" ht="15" thickBot="1" x14ac:dyDescent="0.35"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1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2:28" ht="15" thickBot="1" x14ac:dyDescent="0.35"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1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2:28" ht="15" thickBot="1" x14ac:dyDescent="0.35"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1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2:28" ht="15" thickBot="1" x14ac:dyDescent="0.35"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1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2:28" ht="15" thickBot="1" x14ac:dyDescent="0.35"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1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2:28" ht="15" thickBot="1" x14ac:dyDescent="0.35"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1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2:28" ht="15" thickBot="1" x14ac:dyDescent="0.35"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1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2:28" ht="15" thickBot="1" x14ac:dyDescent="0.35"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1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2:28" ht="15" thickBot="1" x14ac:dyDescent="0.35"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1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2:28" ht="15" thickBot="1" x14ac:dyDescent="0.35"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1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2:28" ht="15" thickBot="1" x14ac:dyDescent="0.35"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1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2:28" ht="15" thickBot="1" x14ac:dyDescent="0.35"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1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2:28" ht="15" thickBot="1" x14ac:dyDescent="0.35"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1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2:28" ht="15" thickBot="1" x14ac:dyDescent="0.35"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1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2:28" ht="15" thickBot="1" x14ac:dyDescent="0.35"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1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2:28" ht="15" thickBot="1" x14ac:dyDescent="0.35"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1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2:28" ht="15" thickBot="1" x14ac:dyDescent="0.35"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1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2:28" ht="15" thickBot="1" x14ac:dyDescent="0.35"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1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2:28" ht="15" thickBot="1" x14ac:dyDescent="0.35"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1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2:28" ht="15" thickBot="1" x14ac:dyDescent="0.35"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1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2:28" ht="15" thickBot="1" x14ac:dyDescent="0.35"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1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2:28" ht="15" thickBot="1" x14ac:dyDescent="0.35"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1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2:28" ht="15" thickBot="1" x14ac:dyDescent="0.35"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1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2:28" ht="15" thickBot="1" x14ac:dyDescent="0.35"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1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2:28" ht="15" thickBot="1" x14ac:dyDescent="0.35"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1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2:28" ht="15" thickBot="1" x14ac:dyDescent="0.35"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1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2:28" ht="15" thickBot="1" x14ac:dyDescent="0.35"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1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2:28" ht="15" thickBot="1" x14ac:dyDescent="0.35"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1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2:28" ht="15" thickBot="1" x14ac:dyDescent="0.35"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1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2:28" ht="15" thickBot="1" x14ac:dyDescent="0.35"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1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2:28" ht="15" thickBot="1" x14ac:dyDescent="0.35"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1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2:28" ht="15" thickBot="1" x14ac:dyDescent="0.35"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1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2:28" ht="15" thickBot="1" x14ac:dyDescent="0.35"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1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2:28" ht="15" thickBot="1" x14ac:dyDescent="0.35"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1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2:28" ht="15" thickBot="1" x14ac:dyDescent="0.35"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1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2:28" ht="15" thickBot="1" x14ac:dyDescent="0.35"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1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2:28" ht="15" thickBot="1" x14ac:dyDescent="0.35"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1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2:28" ht="15" thickBot="1" x14ac:dyDescent="0.35"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1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2:28" ht="15" thickBot="1" x14ac:dyDescent="0.35"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1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2:28" ht="15" thickBot="1" x14ac:dyDescent="0.35"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1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" thickBot="1" x14ac:dyDescent="0.35"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1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" thickBot="1" x14ac:dyDescent="0.35"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1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" thickBot="1" x14ac:dyDescent="0.35"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1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" thickBot="1" x14ac:dyDescent="0.35"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1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" thickBot="1" x14ac:dyDescent="0.35"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1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" thickBot="1" x14ac:dyDescent="0.35"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1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" thickBot="1" x14ac:dyDescent="0.35"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1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" thickBot="1" x14ac:dyDescent="0.35"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1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" thickBot="1" x14ac:dyDescent="0.35"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1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" thickBot="1" x14ac:dyDescent="0.35"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1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" thickBot="1" x14ac:dyDescent="0.35"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1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" thickBot="1" x14ac:dyDescent="0.35"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1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" thickBot="1" x14ac:dyDescent="0.35"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1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" thickBot="1" x14ac:dyDescent="0.35"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1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" thickBot="1" x14ac:dyDescent="0.35"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1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" thickBot="1" x14ac:dyDescent="0.35"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1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" thickBot="1" x14ac:dyDescent="0.35"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1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" thickBot="1" x14ac:dyDescent="0.35"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1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" thickBot="1" x14ac:dyDescent="0.35"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1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" thickBot="1" x14ac:dyDescent="0.35"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1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" thickBot="1" x14ac:dyDescent="0.35"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1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" thickBot="1" x14ac:dyDescent="0.35"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1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" thickBot="1" x14ac:dyDescent="0.35"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1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" thickBot="1" x14ac:dyDescent="0.35"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1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" thickBot="1" x14ac:dyDescent="0.35"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1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" thickBot="1" x14ac:dyDescent="0.35"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1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" thickBot="1" x14ac:dyDescent="0.35"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1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" thickBot="1" x14ac:dyDescent="0.35"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1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" thickBot="1" x14ac:dyDescent="0.35"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1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" thickBot="1" x14ac:dyDescent="0.35"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1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" thickBot="1" x14ac:dyDescent="0.35"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1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" thickBot="1" x14ac:dyDescent="0.35"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1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" thickBot="1" x14ac:dyDescent="0.35"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1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" thickBot="1" x14ac:dyDescent="0.35"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1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" thickBot="1" x14ac:dyDescent="0.35"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1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" thickBot="1" x14ac:dyDescent="0.35"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1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" thickBot="1" x14ac:dyDescent="0.35"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1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" thickBot="1" x14ac:dyDescent="0.35"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1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" thickBot="1" x14ac:dyDescent="0.35"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1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" thickBot="1" x14ac:dyDescent="0.35"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1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" thickBot="1" x14ac:dyDescent="0.35"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1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" thickBot="1" x14ac:dyDescent="0.35"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1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" thickBot="1" x14ac:dyDescent="0.35"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1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" thickBot="1" x14ac:dyDescent="0.35"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1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" thickBot="1" x14ac:dyDescent="0.35"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1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" thickBot="1" x14ac:dyDescent="0.35"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1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" thickBot="1" x14ac:dyDescent="0.35"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1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" thickBot="1" x14ac:dyDescent="0.35"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1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" thickBot="1" x14ac:dyDescent="0.35"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1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" thickBot="1" x14ac:dyDescent="0.35"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1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" thickBot="1" x14ac:dyDescent="0.35"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1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" thickBot="1" x14ac:dyDescent="0.35"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1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" thickBot="1" x14ac:dyDescent="0.35"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1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" thickBot="1" x14ac:dyDescent="0.35"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1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" thickBot="1" x14ac:dyDescent="0.35"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1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" thickBot="1" x14ac:dyDescent="0.35"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1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" thickBot="1" x14ac:dyDescent="0.35"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1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" thickBot="1" x14ac:dyDescent="0.35"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1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" thickBot="1" x14ac:dyDescent="0.35"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1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" thickBot="1" x14ac:dyDescent="0.35"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1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" thickBot="1" x14ac:dyDescent="0.35"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1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" thickBot="1" x14ac:dyDescent="0.35"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1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" thickBot="1" x14ac:dyDescent="0.35"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1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" thickBot="1" x14ac:dyDescent="0.35"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1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" thickBot="1" x14ac:dyDescent="0.35"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1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" thickBot="1" x14ac:dyDescent="0.35"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1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" thickBot="1" x14ac:dyDescent="0.35"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1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" thickBot="1" x14ac:dyDescent="0.35"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1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" thickBot="1" x14ac:dyDescent="0.35"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1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" thickBot="1" x14ac:dyDescent="0.35"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1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" thickBot="1" x14ac:dyDescent="0.35"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1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" thickBot="1" x14ac:dyDescent="0.35"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1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" thickBot="1" x14ac:dyDescent="0.35"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1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" thickBot="1" x14ac:dyDescent="0.35"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1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" thickBot="1" x14ac:dyDescent="0.35"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1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" thickBot="1" x14ac:dyDescent="0.35"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1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" thickBot="1" x14ac:dyDescent="0.35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1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" thickBot="1" x14ac:dyDescent="0.35"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1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" thickBot="1" x14ac:dyDescent="0.35"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1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" thickBot="1" x14ac:dyDescent="0.35"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1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" thickBot="1" x14ac:dyDescent="0.35"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1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" thickBot="1" x14ac:dyDescent="0.35"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1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" thickBot="1" x14ac:dyDescent="0.35"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1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" thickBot="1" x14ac:dyDescent="0.35"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1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" thickBot="1" x14ac:dyDescent="0.35"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1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" thickBot="1" x14ac:dyDescent="0.35"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1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" thickBot="1" x14ac:dyDescent="0.35"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1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" thickBot="1" x14ac:dyDescent="0.35"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1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" thickBot="1" x14ac:dyDescent="0.35"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1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" thickBot="1" x14ac:dyDescent="0.35"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1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" thickBot="1" x14ac:dyDescent="0.35"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1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" thickBot="1" x14ac:dyDescent="0.35"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1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" thickBot="1" x14ac:dyDescent="0.35"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1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" thickBot="1" x14ac:dyDescent="0.35"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1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" thickBot="1" x14ac:dyDescent="0.35"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1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" thickBot="1" x14ac:dyDescent="0.35"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1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" thickBot="1" x14ac:dyDescent="0.35"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1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" thickBot="1" x14ac:dyDescent="0.35"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1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" thickBot="1" x14ac:dyDescent="0.35"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1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" thickBot="1" x14ac:dyDescent="0.35"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1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" thickBot="1" x14ac:dyDescent="0.35"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1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" thickBot="1" x14ac:dyDescent="0.35"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1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" thickBot="1" x14ac:dyDescent="0.35"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1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" thickBot="1" x14ac:dyDescent="0.35"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1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" thickBot="1" x14ac:dyDescent="0.35"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1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" thickBot="1" x14ac:dyDescent="0.35"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1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" thickBot="1" x14ac:dyDescent="0.35"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1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" thickBot="1" x14ac:dyDescent="0.35"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1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" thickBot="1" x14ac:dyDescent="0.35"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1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" thickBot="1" x14ac:dyDescent="0.35"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1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" thickBot="1" x14ac:dyDescent="0.35"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1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" thickBot="1" x14ac:dyDescent="0.35"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1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" thickBot="1" x14ac:dyDescent="0.35"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1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" thickBot="1" x14ac:dyDescent="0.35"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1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" thickBot="1" x14ac:dyDescent="0.35"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1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" thickBot="1" x14ac:dyDescent="0.35"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1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" thickBot="1" x14ac:dyDescent="0.35"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1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" thickBot="1" x14ac:dyDescent="0.35"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1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" thickBot="1" x14ac:dyDescent="0.35"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1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" thickBot="1" x14ac:dyDescent="0.35"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1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" thickBot="1" x14ac:dyDescent="0.35"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1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" thickBot="1" x14ac:dyDescent="0.35"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1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" thickBot="1" x14ac:dyDescent="0.35"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1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" thickBot="1" x14ac:dyDescent="0.35"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1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" thickBot="1" x14ac:dyDescent="0.35"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1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" thickBot="1" x14ac:dyDescent="0.35"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1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" thickBot="1" x14ac:dyDescent="0.35"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1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" thickBot="1" x14ac:dyDescent="0.35"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1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" thickBot="1" x14ac:dyDescent="0.35"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1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" thickBot="1" x14ac:dyDescent="0.35"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1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" thickBot="1" x14ac:dyDescent="0.35"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1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" thickBot="1" x14ac:dyDescent="0.35"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1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" thickBot="1" x14ac:dyDescent="0.35"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1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" thickBot="1" x14ac:dyDescent="0.35"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1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" thickBot="1" x14ac:dyDescent="0.35"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1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" thickBot="1" x14ac:dyDescent="0.35"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1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" thickBot="1" x14ac:dyDescent="0.35"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1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" thickBot="1" x14ac:dyDescent="0.35"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1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" thickBot="1" x14ac:dyDescent="0.35"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1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" thickBot="1" x14ac:dyDescent="0.35"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1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" thickBot="1" x14ac:dyDescent="0.35"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1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" thickBot="1" x14ac:dyDescent="0.35"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1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" thickBot="1" x14ac:dyDescent="0.35"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1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" thickBot="1" x14ac:dyDescent="0.35"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1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" thickBot="1" x14ac:dyDescent="0.35"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1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" thickBot="1" x14ac:dyDescent="0.35"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1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" thickBot="1" x14ac:dyDescent="0.35"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1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" thickBot="1" x14ac:dyDescent="0.35"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1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" thickBot="1" x14ac:dyDescent="0.35"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1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" thickBot="1" x14ac:dyDescent="0.35"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1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" thickBot="1" x14ac:dyDescent="0.35"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1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" thickBot="1" x14ac:dyDescent="0.35"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1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" thickBot="1" x14ac:dyDescent="0.35"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1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" thickBot="1" x14ac:dyDescent="0.35"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1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" thickBot="1" x14ac:dyDescent="0.35"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1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" thickBot="1" x14ac:dyDescent="0.35"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1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" thickBot="1" x14ac:dyDescent="0.35"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1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" thickBot="1" x14ac:dyDescent="0.35"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1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" thickBot="1" x14ac:dyDescent="0.35"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1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" thickBot="1" x14ac:dyDescent="0.35"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1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" thickBot="1" x14ac:dyDescent="0.35"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1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" thickBot="1" x14ac:dyDescent="0.35"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1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" thickBot="1" x14ac:dyDescent="0.35"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1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" thickBot="1" x14ac:dyDescent="0.35"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1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" thickBot="1" x14ac:dyDescent="0.35"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1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" thickBot="1" x14ac:dyDescent="0.35"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1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" thickBot="1" x14ac:dyDescent="0.35"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1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" thickBot="1" x14ac:dyDescent="0.35"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1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" thickBot="1" x14ac:dyDescent="0.35"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1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" thickBot="1" x14ac:dyDescent="0.35"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1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" thickBot="1" x14ac:dyDescent="0.35"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1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" thickBot="1" x14ac:dyDescent="0.35"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1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" thickBot="1" x14ac:dyDescent="0.35"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1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" thickBot="1" x14ac:dyDescent="0.35"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1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" thickBot="1" x14ac:dyDescent="0.35"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1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" thickBot="1" x14ac:dyDescent="0.35"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1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" thickBot="1" x14ac:dyDescent="0.35"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1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" thickBot="1" x14ac:dyDescent="0.35"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1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" thickBot="1" x14ac:dyDescent="0.35"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1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" thickBot="1" x14ac:dyDescent="0.35"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1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" thickBot="1" x14ac:dyDescent="0.35"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1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" thickBot="1" x14ac:dyDescent="0.35"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1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" thickBot="1" x14ac:dyDescent="0.35"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1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" thickBot="1" x14ac:dyDescent="0.35"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1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" thickBot="1" x14ac:dyDescent="0.35"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1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" thickBot="1" x14ac:dyDescent="0.35"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1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" thickBot="1" x14ac:dyDescent="0.35"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1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" thickBot="1" x14ac:dyDescent="0.35"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1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" thickBot="1" x14ac:dyDescent="0.35"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1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" thickBot="1" x14ac:dyDescent="0.35"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1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" thickBot="1" x14ac:dyDescent="0.35"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1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" thickBot="1" x14ac:dyDescent="0.35"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" thickBot="1" x14ac:dyDescent="0.3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" thickBot="1" x14ac:dyDescent="0.3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" thickBot="1" x14ac:dyDescent="0.3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" thickBot="1" x14ac:dyDescent="0.3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" thickBot="1" x14ac:dyDescent="0.3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" thickBot="1" x14ac:dyDescent="0.3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" thickBot="1" x14ac:dyDescent="0.3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" thickBot="1" x14ac:dyDescent="0.3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" thickBot="1" x14ac:dyDescent="0.3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" thickBot="1" x14ac:dyDescent="0.3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" thickBot="1" x14ac:dyDescent="0.3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" thickBot="1" x14ac:dyDescent="0.3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" thickBot="1" x14ac:dyDescent="0.3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" thickBot="1" x14ac:dyDescent="0.3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" thickBot="1" x14ac:dyDescent="0.3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" thickBot="1" x14ac:dyDescent="0.3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" thickBot="1" x14ac:dyDescent="0.3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" thickBot="1" x14ac:dyDescent="0.3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" thickBot="1" x14ac:dyDescent="0.3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" thickBot="1" x14ac:dyDescent="0.3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" thickBot="1" x14ac:dyDescent="0.3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" thickBot="1" x14ac:dyDescent="0.3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" thickBot="1" x14ac:dyDescent="0.3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" thickBot="1" x14ac:dyDescent="0.3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" thickBot="1" x14ac:dyDescent="0.3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" thickBot="1" x14ac:dyDescent="0.3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" thickBot="1" x14ac:dyDescent="0.3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" thickBot="1" x14ac:dyDescent="0.3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" thickBot="1" x14ac:dyDescent="0.3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" thickBot="1" x14ac:dyDescent="0.3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" thickBot="1" x14ac:dyDescent="0.3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" thickBot="1" x14ac:dyDescent="0.3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" thickBot="1" x14ac:dyDescent="0.3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" thickBot="1" x14ac:dyDescent="0.3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" thickBot="1" x14ac:dyDescent="0.3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" thickBot="1" x14ac:dyDescent="0.3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" thickBot="1" x14ac:dyDescent="0.3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" thickBot="1" x14ac:dyDescent="0.3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" thickBot="1" x14ac:dyDescent="0.3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" thickBot="1" x14ac:dyDescent="0.3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" thickBot="1" x14ac:dyDescent="0.3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" thickBot="1" x14ac:dyDescent="0.3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" thickBot="1" x14ac:dyDescent="0.3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" thickBot="1" x14ac:dyDescent="0.3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" thickBot="1" x14ac:dyDescent="0.3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" thickBot="1" x14ac:dyDescent="0.3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" thickBot="1" x14ac:dyDescent="0.3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" thickBot="1" x14ac:dyDescent="0.3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" thickBot="1" x14ac:dyDescent="0.3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" thickBot="1" x14ac:dyDescent="0.3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" thickBot="1" x14ac:dyDescent="0.3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" thickBot="1" x14ac:dyDescent="0.3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" thickBot="1" x14ac:dyDescent="0.3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" thickBot="1" x14ac:dyDescent="0.3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" thickBot="1" x14ac:dyDescent="0.3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" thickBot="1" x14ac:dyDescent="0.3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" thickBot="1" x14ac:dyDescent="0.3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" thickBot="1" x14ac:dyDescent="0.3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" thickBot="1" x14ac:dyDescent="0.3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" thickBot="1" x14ac:dyDescent="0.3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" thickBot="1" x14ac:dyDescent="0.3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" thickBot="1" x14ac:dyDescent="0.3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" thickBot="1" x14ac:dyDescent="0.3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" thickBot="1" x14ac:dyDescent="0.3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" thickBot="1" x14ac:dyDescent="0.3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" thickBot="1" x14ac:dyDescent="0.3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" thickBot="1" x14ac:dyDescent="0.3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" thickBot="1" x14ac:dyDescent="0.3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" thickBot="1" x14ac:dyDescent="0.3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" thickBot="1" x14ac:dyDescent="0.3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" thickBot="1" x14ac:dyDescent="0.3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" thickBot="1" x14ac:dyDescent="0.3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" thickBot="1" x14ac:dyDescent="0.3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" thickBot="1" x14ac:dyDescent="0.3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" thickBot="1" x14ac:dyDescent="0.3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" thickBot="1" x14ac:dyDescent="0.3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" thickBot="1" x14ac:dyDescent="0.3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" thickBot="1" x14ac:dyDescent="0.3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" thickBot="1" x14ac:dyDescent="0.3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" thickBot="1" x14ac:dyDescent="0.3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" thickBot="1" x14ac:dyDescent="0.3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" thickBot="1" x14ac:dyDescent="0.3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" thickBot="1" x14ac:dyDescent="0.3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" thickBot="1" x14ac:dyDescent="0.3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" thickBot="1" x14ac:dyDescent="0.3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" thickBot="1" x14ac:dyDescent="0.3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" thickBot="1" x14ac:dyDescent="0.3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" thickBot="1" x14ac:dyDescent="0.3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" thickBot="1" x14ac:dyDescent="0.3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" thickBot="1" x14ac:dyDescent="0.3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" thickBot="1" x14ac:dyDescent="0.3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" thickBot="1" x14ac:dyDescent="0.3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" thickBot="1" x14ac:dyDescent="0.3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" thickBot="1" x14ac:dyDescent="0.3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" thickBot="1" x14ac:dyDescent="0.3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" thickBot="1" x14ac:dyDescent="0.3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" thickBot="1" x14ac:dyDescent="0.3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" thickBot="1" x14ac:dyDescent="0.3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" thickBot="1" x14ac:dyDescent="0.3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" thickBot="1" x14ac:dyDescent="0.3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" thickBot="1" x14ac:dyDescent="0.3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" thickBot="1" x14ac:dyDescent="0.3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" thickBot="1" x14ac:dyDescent="0.3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" thickBot="1" x14ac:dyDescent="0.3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" thickBot="1" x14ac:dyDescent="0.3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" thickBot="1" x14ac:dyDescent="0.3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" thickBot="1" x14ac:dyDescent="0.3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" thickBot="1" x14ac:dyDescent="0.3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" thickBot="1" x14ac:dyDescent="0.3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" thickBot="1" x14ac:dyDescent="0.3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" thickBot="1" x14ac:dyDescent="0.3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" thickBot="1" x14ac:dyDescent="0.3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" thickBot="1" x14ac:dyDescent="0.3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" thickBot="1" x14ac:dyDescent="0.3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" thickBot="1" x14ac:dyDescent="0.3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" thickBot="1" x14ac:dyDescent="0.3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" thickBot="1" x14ac:dyDescent="0.3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" thickBot="1" x14ac:dyDescent="0.3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" thickBot="1" x14ac:dyDescent="0.3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" thickBot="1" x14ac:dyDescent="0.3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" thickBot="1" x14ac:dyDescent="0.3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" thickBot="1" x14ac:dyDescent="0.3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" thickBot="1" x14ac:dyDescent="0.3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" thickBot="1" x14ac:dyDescent="0.3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" thickBot="1" x14ac:dyDescent="0.3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" thickBot="1" x14ac:dyDescent="0.3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" thickBot="1" x14ac:dyDescent="0.3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" thickBot="1" x14ac:dyDescent="0.3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" thickBot="1" x14ac:dyDescent="0.3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" thickBot="1" x14ac:dyDescent="0.3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" thickBot="1" x14ac:dyDescent="0.3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" thickBot="1" x14ac:dyDescent="0.3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" thickBot="1" x14ac:dyDescent="0.3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" thickBot="1" x14ac:dyDescent="0.3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" thickBot="1" x14ac:dyDescent="0.3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" thickBot="1" x14ac:dyDescent="0.3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" thickBot="1" x14ac:dyDescent="0.3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" thickBot="1" x14ac:dyDescent="0.3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" thickBot="1" x14ac:dyDescent="0.3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" thickBot="1" x14ac:dyDescent="0.3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" thickBot="1" x14ac:dyDescent="0.3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" thickBot="1" x14ac:dyDescent="0.3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" thickBot="1" x14ac:dyDescent="0.3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" thickBot="1" x14ac:dyDescent="0.3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" thickBot="1" x14ac:dyDescent="0.3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" thickBot="1" x14ac:dyDescent="0.3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" thickBot="1" x14ac:dyDescent="0.3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" thickBot="1" x14ac:dyDescent="0.3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" thickBot="1" x14ac:dyDescent="0.3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" thickBot="1" x14ac:dyDescent="0.3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" thickBot="1" x14ac:dyDescent="0.3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" thickBot="1" x14ac:dyDescent="0.3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" thickBot="1" x14ac:dyDescent="0.3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" thickBot="1" x14ac:dyDescent="0.3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" thickBot="1" x14ac:dyDescent="0.3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" thickBot="1" x14ac:dyDescent="0.3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" thickBot="1" x14ac:dyDescent="0.3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" thickBot="1" x14ac:dyDescent="0.3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" thickBot="1" x14ac:dyDescent="0.3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" thickBot="1" x14ac:dyDescent="0.3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" thickBot="1" x14ac:dyDescent="0.3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" thickBot="1" x14ac:dyDescent="0.3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" thickBot="1" x14ac:dyDescent="0.3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" thickBot="1" x14ac:dyDescent="0.3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" thickBot="1" x14ac:dyDescent="0.3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" thickBot="1" x14ac:dyDescent="0.3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" thickBot="1" x14ac:dyDescent="0.3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" thickBot="1" x14ac:dyDescent="0.3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" thickBot="1" x14ac:dyDescent="0.3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" thickBot="1" x14ac:dyDescent="0.3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" thickBot="1" x14ac:dyDescent="0.3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" thickBot="1" x14ac:dyDescent="0.3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" thickBot="1" x14ac:dyDescent="0.3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" thickBot="1" x14ac:dyDescent="0.3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" thickBot="1" x14ac:dyDescent="0.3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" thickBot="1" x14ac:dyDescent="0.3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" thickBot="1" x14ac:dyDescent="0.3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" thickBot="1" x14ac:dyDescent="0.3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" thickBot="1" x14ac:dyDescent="0.3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" thickBot="1" x14ac:dyDescent="0.3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" thickBot="1" x14ac:dyDescent="0.3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" thickBot="1" x14ac:dyDescent="0.3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" thickBot="1" x14ac:dyDescent="0.3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" thickBot="1" x14ac:dyDescent="0.3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" thickBot="1" x14ac:dyDescent="0.3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" thickBot="1" x14ac:dyDescent="0.3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" thickBot="1" x14ac:dyDescent="0.3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" thickBot="1" x14ac:dyDescent="0.3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" thickBot="1" x14ac:dyDescent="0.3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" thickBot="1" x14ac:dyDescent="0.3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" thickBot="1" x14ac:dyDescent="0.3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" thickBot="1" x14ac:dyDescent="0.3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" thickBot="1" x14ac:dyDescent="0.3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" thickBot="1" x14ac:dyDescent="0.3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" thickBot="1" x14ac:dyDescent="0.3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" thickBot="1" x14ac:dyDescent="0.3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" thickBot="1" x14ac:dyDescent="0.3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" thickBot="1" x14ac:dyDescent="0.3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" thickBot="1" x14ac:dyDescent="0.3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" thickBot="1" x14ac:dyDescent="0.3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" thickBot="1" x14ac:dyDescent="0.3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" thickBot="1" x14ac:dyDescent="0.3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" thickBot="1" x14ac:dyDescent="0.3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" thickBot="1" x14ac:dyDescent="0.3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" thickBot="1" x14ac:dyDescent="0.3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" thickBot="1" x14ac:dyDescent="0.3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" thickBot="1" x14ac:dyDescent="0.3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" thickBot="1" x14ac:dyDescent="0.3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" thickBot="1" x14ac:dyDescent="0.3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" thickBot="1" x14ac:dyDescent="0.3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" thickBot="1" x14ac:dyDescent="0.3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" thickBot="1" x14ac:dyDescent="0.3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" thickBot="1" x14ac:dyDescent="0.3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" thickBot="1" x14ac:dyDescent="0.3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" thickBot="1" x14ac:dyDescent="0.3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" thickBot="1" x14ac:dyDescent="0.3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" thickBot="1" x14ac:dyDescent="0.3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" thickBot="1" x14ac:dyDescent="0.3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" thickBot="1" x14ac:dyDescent="0.3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" thickBot="1" x14ac:dyDescent="0.3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" thickBot="1" x14ac:dyDescent="0.3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" thickBot="1" x14ac:dyDescent="0.3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" thickBot="1" x14ac:dyDescent="0.3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" thickBot="1" x14ac:dyDescent="0.3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" thickBot="1" x14ac:dyDescent="0.3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" thickBot="1" x14ac:dyDescent="0.3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" thickBot="1" x14ac:dyDescent="0.3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" thickBot="1" x14ac:dyDescent="0.3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" thickBot="1" x14ac:dyDescent="0.3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" thickBot="1" x14ac:dyDescent="0.3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" thickBot="1" x14ac:dyDescent="0.3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" thickBot="1" x14ac:dyDescent="0.3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" thickBot="1" x14ac:dyDescent="0.3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" thickBot="1" x14ac:dyDescent="0.3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" thickBot="1" x14ac:dyDescent="0.3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" thickBot="1" x14ac:dyDescent="0.3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" thickBot="1" x14ac:dyDescent="0.3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" thickBot="1" x14ac:dyDescent="0.3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" thickBot="1" x14ac:dyDescent="0.3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" thickBot="1" x14ac:dyDescent="0.3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" thickBot="1" x14ac:dyDescent="0.3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" thickBot="1" x14ac:dyDescent="0.3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" thickBot="1" x14ac:dyDescent="0.3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" thickBot="1" x14ac:dyDescent="0.3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" thickBot="1" x14ac:dyDescent="0.3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" thickBot="1" x14ac:dyDescent="0.3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" thickBot="1" x14ac:dyDescent="0.3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" thickBot="1" x14ac:dyDescent="0.3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" thickBot="1" x14ac:dyDescent="0.3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" thickBot="1" x14ac:dyDescent="0.3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" thickBot="1" x14ac:dyDescent="0.3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" thickBot="1" x14ac:dyDescent="0.3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" thickBot="1" x14ac:dyDescent="0.3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" thickBot="1" x14ac:dyDescent="0.3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" thickBot="1" x14ac:dyDescent="0.3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" thickBot="1" x14ac:dyDescent="0.3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" thickBot="1" x14ac:dyDescent="0.3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" thickBot="1" x14ac:dyDescent="0.3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" thickBot="1" x14ac:dyDescent="0.3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" thickBot="1" x14ac:dyDescent="0.3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" thickBot="1" x14ac:dyDescent="0.3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" thickBot="1" x14ac:dyDescent="0.3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" thickBot="1" x14ac:dyDescent="0.3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" thickBot="1" x14ac:dyDescent="0.3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" thickBot="1" x14ac:dyDescent="0.3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" thickBot="1" x14ac:dyDescent="0.3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" thickBot="1" x14ac:dyDescent="0.3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" thickBot="1" x14ac:dyDescent="0.3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" thickBot="1" x14ac:dyDescent="0.3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" thickBot="1" x14ac:dyDescent="0.3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" thickBot="1" x14ac:dyDescent="0.3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" thickBot="1" x14ac:dyDescent="0.3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" thickBot="1" x14ac:dyDescent="0.3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" thickBot="1" x14ac:dyDescent="0.3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" thickBot="1" x14ac:dyDescent="0.3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" thickBot="1" x14ac:dyDescent="0.3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" thickBot="1" x14ac:dyDescent="0.3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" thickBot="1" x14ac:dyDescent="0.3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" thickBot="1" x14ac:dyDescent="0.3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" thickBot="1" x14ac:dyDescent="0.3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" thickBot="1" x14ac:dyDescent="0.3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" thickBot="1" x14ac:dyDescent="0.3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" thickBot="1" x14ac:dyDescent="0.3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" thickBot="1" x14ac:dyDescent="0.3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" thickBot="1" x14ac:dyDescent="0.3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" thickBot="1" x14ac:dyDescent="0.3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" thickBot="1" x14ac:dyDescent="0.3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" thickBot="1" x14ac:dyDescent="0.3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" thickBot="1" x14ac:dyDescent="0.3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" thickBot="1" x14ac:dyDescent="0.3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" thickBot="1" x14ac:dyDescent="0.3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" thickBot="1" x14ac:dyDescent="0.3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" thickBot="1" x14ac:dyDescent="0.3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" thickBot="1" x14ac:dyDescent="0.3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" thickBot="1" x14ac:dyDescent="0.3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" thickBot="1" x14ac:dyDescent="0.3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" thickBot="1" x14ac:dyDescent="0.3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" thickBot="1" x14ac:dyDescent="0.3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" thickBot="1" x14ac:dyDescent="0.3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" thickBot="1" x14ac:dyDescent="0.3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" thickBot="1" x14ac:dyDescent="0.3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" thickBot="1" x14ac:dyDescent="0.3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" thickBot="1" x14ac:dyDescent="0.3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" thickBot="1" x14ac:dyDescent="0.3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" thickBot="1" x14ac:dyDescent="0.3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" thickBot="1" x14ac:dyDescent="0.3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" thickBot="1" x14ac:dyDescent="0.3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" thickBot="1" x14ac:dyDescent="0.3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" thickBot="1" x14ac:dyDescent="0.3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" thickBot="1" x14ac:dyDescent="0.3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" thickBot="1" x14ac:dyDescent="0.3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" thickBot="1" x14ac:dyDescent="0.3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" thickBot="1" x14ac:dyDescent="0.3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" thickBot="1" x14ac:dyDescent="0.3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" thickBot="1" x14ac:dyDescent="0.3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" thickBot="1" x14ac:dyDescent="0.3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" thickBot="1" x14ac:dyDescent="0.3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" thickBot="1" x14ac:dyDescent="0.3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" thickBot="1" x14ac:dyDescent="0.3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" thickBot="1" x14ac:dyDescent="0.3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" thickBot="1" x14ac:dyDescent="0.3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" thickBot="1" x14ac:dyDescent="0.3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" thickBot="1" x14ac:dyDescent="0.3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" thickBot="1" x14ac:dyDescent="0.3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" thickBot="1" x14ac:dyDescent="0.3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" thickBot="1" x14ac:dyDescent="0.3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" thickBot="1" x14ac:dyDescent="0.3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" thickBot="1" x14ac:dyDescent="0.3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" thickBot="1" x14ac:dyDescent="0.3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" thickBot="1" x14ac:dyDescent="0.3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" thickBot="1" x14ac:dyDescent="0.3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" thickBot="1" x14ac:dyDescent="0.3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" thickBot="1" x14ac:dyDescent="0.3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" thickBot="1" x14ac:dyDescent="0.3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" thickBot="1" x14ac:dyDescent="0.3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" thickBot="1" x14ac:dyDescent="0.3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" thickBot="1" x14ac:dyDescent="0.3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" thickBot="1" x14ac:dyDescent="0.3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" thickBot="1" x14ac:dyDescent="0.3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" thickBot="1" x14ac:dyDescent="0.3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" thickBot="1" x14ac:dyDescent="0.3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" thickBot="1" x14ac:dyDescent="0.3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" thickBot="1" x14ac:dyDescent="0.3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" thickBot="1" x14ac:dyDescent="0.3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" thickBot="1" x14ac:dyDescent="0.3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" thickBot="1" x14ac:dyDescent="0.3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" thickBot="1" x14ac:dyDescent="0.3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" thickBot="1" x14ac:dyDescent="0.3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" thickBot="1" x14ac:dyDescent="0.3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" thickBot="1" x14ac:dyDescent="0.3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" thickBot="1" x14ac:dyDescent="0.3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" thickBot="1" x14ac:dyDescent="0.3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" thickBot="1" x14ac:dyDescent="0.3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" thickBot="1" x14ac:dyDescent="0.3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" thickBot="1" x14ac:dyDescent="0.3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" thickBot="1" x14ac:dyDescent="0.3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" thickBot="1" x14ac:dyDescent="0.3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" thickBot="1" x14ac:dyDescent="0.3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" thickBot="1" x14ac:dyDescent="0.3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" thickBot="1" x14ac:dyDescent="0.3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" thickBot="1" x14ac:dyDescent="0.3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" thickBot="1" x14ac:dyDescent="0.3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" thickBot="1" x14ac:dyDescent="0.3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" thickBot="1" x14ac:dyDescent="0.3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" thickBot="1" x14ac:dyDescent="0.3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" thickBot="1" x14ac:dyDescent="0.3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" thickBot="1" x14ac:dyDescent="0.3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" thickBot="1" x14ac:dyDescent="0.3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" thickBot="1" x14ac:dyDescent="0.3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" thickBot="1" x14ac:dyDescent="0.3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" thickBot="1" x14ac:dyDescent="0.3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" thickBot="1" x14ac:dyDescent="0.3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" thickBot="1" x14ac:dyDescent="0.3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" thickBot="1" x14ac:dyDescent="0.3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" thickBot="1" x14ac:dyDescent="0.3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" thickBot="1" x14ac:dyDescent="0.3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" thickBot="1" x14ac:dyDescent="0.3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" thickBot="1" x14ac:dyDescent="0.3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" thickBot="1" x14ac:dyDescent="0.3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" thickBot="1" x14ac:dyDescent="0.3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" thickBot="1" x14ac:dyDescent="0.3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" thickBot="1" x14ac:dyDescent="0.3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" thickBot="1" x14ac:dyDescent="0.3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" thickBot="1" x14ac:dyDescent="0.3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" thickBot="1" x14ac:dyDescent="0.3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" thickBot="1" x14ac:dyDescent="0.3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" thickBot="1" x14ac:dyDescent="0.3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" thickBot="1" x14ac:dyDescent="0.3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" thickBot="1" x14ac:dyDescent="0.3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" thickBot="1" x14ac:dyDescent="0.3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" thickBot="1" x14ac:dyDescent="0.3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" thickBot="1" x14ac:dyDescent="0.3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" thickBot="1" x14ac:dyDescent="0.3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" thickBot="1" x14ac:dyDescent="0.3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" thickBot="1" x14ac:dyDescent="0.3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" thickBot="1" x14ac:dyDescent="0.3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" thickBot="1" x14ac:dyDescent="0.3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" thickBot="1" x14ac:dyDescent="0.3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" thickBot="1" x14ac:dyDescent="0.3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" thickBot="1" x14ac:dyDescent="0.3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" thickBot="1" x14ac:dyDescent="0.3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" thickBot="1" x14ac:dyDescent="0.3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" thickBot="1" x14ac:dyDescent="0.3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" thickBot="1" x14ac:dyDescent="0.3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" thickBot="1" x14ac:dyDescent="0.3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" thickBot="1" x14ac:dyDescent="0.3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" thickBot="1" x14ac:dyDescent="0.3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" thickBot="1" x14ac:dyDescent="0.3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" thickBot="1" x14ac:dyDescent="0.3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" thickBot="1" x14ac:dyDescent="0.3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" thickBot="1" x14ac:dyDescent="0.3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" thickBot="1" x14ac:dyDescent="0.3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" thickBot="1" x14ac:dyDescent="0.3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" thickBot="1" x14ac:dyDescent="0.3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" thickBot="1" x14ac:dyDescent="0.3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" thickBot="1" x14ac:dyDescent="0.3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" thickBot="1" x14ac:dyDescent="0.3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" thickBot="1" x14ac:dyDescent="0.3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" thickBot="1" x14ac:dyDescent="0.3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" thickBot="1" x14ac:dyDescent="0.3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" thickBot="1" x14ac:dyDescent="0.3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" thickBot="1" x14ac:dyDescent="0.3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" thickBot="1" x14ac:dyDescent="0.3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" thickBot="1" x14ac:dyDescent="0.3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" thickBot="1" x14ac:dyDescent="0.3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" thickBot="1" x14ac:dyDescent="0.3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" thickBot="1" x14ac:dyDescent="0.3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" thickBot="1" x14ac:dyDescent="0.3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" thickBot="1" x14ac:dyDescent="0.3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" thickBot="1" x14ac:dyDescent="0.3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" thickBot="1" x14ac:dyDescent="0.3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" thickBot="1" x14ac:dyDescent="0.3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" thickBot="1" x14ac:dyDescent="0.3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" thickBot="1" x14ac:dyDescent="0.3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" thickBot="1" x14ac:dyDescent="0.3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" thickBot="1" x14ac:dyDescent="0.3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" thickBot="1" x14ac:dyDescent="0.3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" thickBot="1" x14ac:dyDescent="0.3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" thickBot="1" x14ac:dyDescent="0.3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" thickBot="1" x14ac:dyDescent="0.3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" thickBot="1" x14ac:dyDescent="0.3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" thickBot="1" x14ac:dyDescent="0.3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" thickBot="1" x14ac:dyDescent="0.3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" thickBot="1" x14ac:dyDescent="0.3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" thickBot="1" x14ac:dyDescent="0.3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" thickBot="1" x14ac:dyDescent="0.3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" thickBot="1" x14ac:dyDescent="0.3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" thickBot="1" x14ac:dyDescent="0.3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" thickBot="1" x14ac:dyDescent="0.3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" thickBot="1" x14ac:dyDescent="0.3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" thickBot="1" x14ac:dyDescent="0.3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" thickBot="1" x14ac:dyDescent="0.3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" thickBot="1" x14ac:dyDescent="0.3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" thickBot="1" x14ac:dyDescent="0.3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" thickBot="1" x14ac:dyDescent="0.3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" thickBot="1" x14ac:dyDescent="0.3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" thickBot="1" x14ac:dyDescent="0.3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" thickBot="1" x14ac:dyDescent="0.3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" thickBot="1" x14ac:dyDescent="0.3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" thickBot="1" x14ac:dyDescent="0.3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" thickBot="1" x14ac:dyDescent="0.3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" thickBot="1" x14ac:dyDescent="0.3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" thickBot="1" x14ac:dyDescent="0.3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" thickBot="1" x14ac:dyDescent="0.3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" thickBot="1" x14ac:dyDescent="0.3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" thickBot="1" x14ac:dyDescent="0.3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" thickBot="1" x14ac:dyDescent="0.3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" thickBot="1" x14ac:dyDescent="0.3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" thickBot="1" x14ac:dyDescent="0.3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" thickBot="1" x14ac:dyDescent="0.3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" thickBot="1" x14ac:dyDescent="0.3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" thickBot="1" x14ac:dyDescent="0.3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" thickBot="1" x14ac:dyDescent="0.3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" thickBot="1" x14ac:dyDescent="0.3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" thickBot="1" x14ac:dyDescent="0.3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" thickBot="1" x14ac:dyDescent="0.3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" thickBot="1" x14ac:dyDescent="0.3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" thickBot="1" x14ac:dyDescent="0.3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" thickBot="1" x14ac:dyDescent="0.3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" thickBot="1" x14ac:dyDescent="0.3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" thickBot="1" x14ac:dyDescent="0.3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" thickBot="1" x14ac:dyDescent="0.3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" thickBot="1" x14ac:dyDescent="0.3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" thickBot="1" x14ac:dyDescent="0.3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" thickBot="1" x14ac:dyDescent="0.3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" thickBot="1" x14ac:dyDescent="0.3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" thickBot="1" x14ac:dyDescent="0.3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" thickBot="1" x14ac:dyDescent="0.3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" thickBot="1" x14ac:dyDescent="0.3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" thickBot="1" x14ac:dyDescent="0.3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" thickBot="1" x14ac:dyDescent="0.3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" thickBot="1" x14ac:dyDescent="0.3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" thickBot="1" x14ac:dyDescent="0.3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" thickBot="1" x14ac:dyDescent="0.3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" thickBot="1" x14ac:dyDescent="0.3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" thickBot="1" x14ac:dyDescent="0.3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" thickBot="1" x14ac:dyDescent="0.3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" thickBot="1" x14ac:dyDescent="0.3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" thickBot="1" x14ac:dyDescent="0.3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" thickBot="1" x14ac:dyDescent="0.3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" thickBot="1" x14ac:dyDescent="0.3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" thickBot="1" x14ac:dyDescent="0.3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" thickBot="1" x14ac:dyDescent="0.3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" thickBot="1" x14ac:dyDescent="0.3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" thickBot="1" x14ac:dyDescent="0.3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" thickBot="1" x14ac:dyDescent="0.3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" thickBot="1" x14ac:dyDescent="0.3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" thickBot="1" x14ac:dyDescent="0.3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" thickBot="1" x14ac:dyDescent="0.3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</sheetData>
  <mergeCells count="14">
    <mergeCell ref="B65:G65"/>
    <mergeCell ref="B58:G58"/>
    <mergeCell ref="B61:G61"/>
    <mergeCell ref="B62:G62"/>
    <mergeCell ref="B63:G63"/>
    <mergeCell ref="B64:G64"/>
    <mergeCell ref="A1:G1"/>
    <mergeCell ref="D4:D5"/>
    <mergeCell ref="E4:E5"/>
    <mergeCell ref="A2:G2"/>
    <mergeCell ref="A4:A5"/>
    <mergeCell ref="B4:B5"/>
    <mergeCell ref="C4:C5"/>
    <mergeCell ref="F4:G4"/>
  </mergeCells>
  <pageMargins left="0.51181102362204722" right="0.31496062992125984" top="0.74803149606299213" bottom="0.74803149606299213" header="0.31496062992125984" footer="0.31496062992125984"/>
  <pageSetup paperSize="9" scale="9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005"/>
  <sheetViews>
    <sheetView topLeftCell="A49" workbookViewId="0">
      <selection activeCell="E13" sqref="E13"/>
    </sheetView>
  </sheetViews>
  <sheetFormatPr defaultRowHeight="14.4" x14ac:dyDescent="0.3"/>
  <cols>
    <col min="1" max="1" width="4.6640625" customWidth="1"/>
    <col min="2" max="2" width="25.88671875" customWidth="1"/>
    <col min="3" max="3" width="17.88671875" customWidth="1"/>
    <col min="4" max="4" width="15.33203125" customWidth="1"/>
    <col min="5" max="5" width="15" customWidth="1"/>
    <col min="6" max="6" width="15.6640625" customWidth="1"/>
    <col min="7" max="7" width="9.109375" customWidth="1"/>
  </cols>
  <sheetData>
    <row r="1" spans="1:28" ht="16.2" thickBot="1" x14ac:dyDescent="0.35">
      <c r="A1" s="93" t="s">
        <v>94</v>
      </c>
      <c r="B1" s="93"/>
      <c r="C1" s="93"/>
      <c r="D1" s="93"/>
      <c r="E1" s="93"/>
      <c r="F1" s="93"/>
      <c r="G1" s="9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6.2" thickBot="1" x14ac:dyDescent="0.35">
      <c r="A2" s="95" t="s">
        <v>64</v>
      </c>
      <c r="B2" s="95"/>
      <c r="C2" s="95"/>
      <c r="D2" s="95"/>
      <c r="E2" s="95"/>
      <c r="F2" s="95"/>
      <c r="G2" s="9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" thickBot="1" x14ac:dyDescent="0.35">
      <c r="B3" s="18"/>
      <c r="C3" s="18"/>
      <c r="D3" s="18"/>
      <c r="E3" s="18"/>
      <c r="F3" s="18"/>
      <c r="G3" s="18"/>
      <c r="H3" s="1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s="10" customFormat="1" ht="15" thickBot="1" x14ac:dyDescent="0.35">
      <c r="A4" s="96" t="s">
        <v>54</v>
      </c>
      <c r="B4" s="97" t="s">
        <v>55</v>
      </c>
      <c r="C4" s="97" t="s">
        <v>65</v>
      </c>
      <c r="D4" s="94" t="s">
        <v>68</v>
      </c>
      <c r="E4" s="94" t="s">
        <v>80</v>
      </c>
      <c r="F4" s="97" t="s">
        <v>66</v>
      </c>
      <c r="G4" s="97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s="10" customFormat="1" ht="27" thickBot="1" x14ac:dyDescent="0.35">
      <c r="A5" s="96"/>
      <c r="B5" s="97"/>
      <c r="C5" s="97"/>
      <c r="D5" s="94"/>
      <c r="E5" s="94"/>
      <c r="F5" s="52" t="s">
        <v>78</v>
      </c>
      <c r="G5" s="52" t="s">
        <v>79</v>
      </c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s="10" customFormat="1" ht="15" thickBot="1" x14ac:dyDescent="0.35">
      <c r="A6" s="2">
        <v>1</v>
      </c>
      <c r="B6" s="22">
        <v>2</v>
      </c>
      <c r="C6" s="22">
        <v>3</v>
      </c>
      <c r="D6" s="23">
        <v>4</v>
      </c>
      <c r="E6" s="23">
        <v>5</v>
      </c>
      <c r="F6" s="22">
        <v>6</v>
      </c>
      <c r="G6" s="22">
        <v>7</v>
      </c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s="6" customFormat="1" ht="17.25" customHeight="1" thickBot="1" x14ac:dyDescent="0.35">
      <c r="A7" s="24">
        <v>1</v>
      </c>
      <c r="B7" s="25" t="s">
        <v>3</v>
      </c>
      <c r="C7" s="35">
        <v>685552490</v>
      </c>
      <c r="D7" s="35">
        <v>0</v>
      </c>
      <c r="E7" s="35">
        <v>0</v>
      </c>
      <c r="F7" s="35">
        <f>D7+E7</f>
        <v>0</v>
      </c>
      <c r="G7" s="26">
        <f>F7/C7</f>
        <v>0</v>
      </c>
      <c r="H7" s="27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s="6" customFormat="1" ht="29.4" thickBot="1" x14ac:dyDescent="0.35">
      <c r="A8" s="24">
        <v>2</v>
      </c>
      <c r="B8" s="29" t="s">
        <v>11</v>
      </c>
      <c r="C8" s="36">
        <v>1008395950</v>
      </c>
      <c r="D8" s="36">
        <v>0</v>
      </c>
      <c r="E8" s="36">
        <v>0</v>
      </c>
      <c r="F8" s="36">
        <f t="shared" ref="F8:F55" si="0">D8+E8</f>
        <v>0</v>
      </c>
      <c r="G8" s="30">
        <f>F8/C8</f>
        <v>0</v>
      </c>
      <c r="H8" s="27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1:28" s="6" customFormat="1" ht="29.4" thickBot="1" x14ac:dyDescent="0.35">
      <c r="A9" s="24">
        <v>3</v>
      </c>
      <c r="B9" s="29" t="s">
        <v>12</v>
      </c>
      <c r="C9" s="36">
        <v>29342843618</v>
      </c>
      <c r="D9" s="36">
        <v>0</v>
      </c>
      <c r="E9" s="36">
        <v>0</v>
      </c>
      <c r="F9" s="36">
        <f t="shared" si="0"/>
        <v>0</v>
      </c>
      <c r="G9" s="30">
        <f t="shared" ref="G9:G56" si="1">F9/C9</f>
        <v>0</v>
      </c>
      <c r="H9" s="27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s="6" customFormat="1" ht="15" thickBot="1" x14ac:dyDescent="0.35">
      <c r="A10" s="24">
        <v>4</v>
      </c>
      <c r="B10" s="29" t="s">
        <v>13</v>
      </c>
      <c r="C10" s="36">
        <v>8411607000</v>
      </c>
      <c r="D10" s="36">
        <v>0</v>
      </c>
      <c r="E10" s="36">
        <v>0</v>
      </c>
      <c r="F10" s="36">
        <f t="shared" si="0"/>
        <v>0</v>
      </c>
      <c r="G10" s="30">
        <f t="shared" si="1"/>
        <v>0</v>
      </c>
      <c r="H10" s="27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spans="1:28" s="6" customFormat="1" ht="29.4" thickBot="1" x14ac:dyDescent="0.35">
      <c r="A11" s="24">
        <v>5</v>
      </c>
      <c r="B11" s="29" t="s">
        <v>14</v>
      </c>
      <c r="C11" s="36">
        <v>101257044</v>
      </c>
      <c r="D11" s="36">
        <v>0</v>
      </c>
      <c r="E11" s="36">
        <v>0</v>
      </c>
      <c r="F11" s="36">
        <f t="shared" si="0"/>
        <v>0</v>
      </c>
      <c r="G11" s="30">
        <f t="shared" si="1"/>
        <v>0</v>
      </c>
      <c r="H11" s="27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spans="1:28" s="6" customFormat="1" ht="29.4" thickBot="1" x14ac:dyDescent="0.35">
      <c r="A12" s="24">
        <v>6</v>
      </c>
      <c r="B12" s="29" t="s">
        <v>15</v>
      </c>
      <c r="C12" s="36">
        <v>10438503160</v>
      </c>
      <c r="D12" s="36">
        <v>0</v>
      </c>
      <c r="E12" s="36">
        <v>0</v>
      </c>
      <c r="F12" s="36">
        <f t="shared" si="0"/>
        <v>0</v>
      </c>
      <c r="G12" s="30">
        <f t="shared" si="1"/>
        <v>0</v>
      </c>
      <c r="H12" s="27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spans="1:28" s="6" customFormat="1" ht="30.75" customHeight="1" thickBot="1" x14ac:dyDescent="0.35">
      <c r="A13" s="24">
        <v>7</v>
      </c>
      <c r="B13" s="29" t="s">
        <v>16</v>
      </c>
      <c r="C13" s="36">
        <v>4365307833</v>
      </c>
      <c r="D13" s="36">
        <v>0</v>
      </c>
      <c r="E13" s="36">
        <v>0</v>
      </c>
      <c r="F13" s="36">
        <f t="shared" si="0"/>
        <v>0</v>
      </c>
      <c r="G13" s="30">
        <f t="shared" si="1"/>
        <v>0</v>
      </c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spans="1:28" s="6" customFormat="1" ht="15" thickBot="1" x14ac:dyDescent="0.35">
      <c r="A14" s="24">
        <v>8</v>
      </c>
      <c r="B14" s="29" t="s">
        <v>17</v>
      </c>
      <c r="C14" s="36">
        <v>1600884600</v>
      </c>
      <c r="D14" s="36">
        <v>0</v>
      </c>
      <c r="E14" s="36">
        <v>0</v>
      </c>
      <c r="F14" s="36">
        <f t="shared" si="0"/>
        <v>0</v>
      </c>
      <c r="G14" s="30">
        <f t="shared" si="1"/>
        <v>0</v>
      </c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spans="1:28" s="6" customFormat="1" ht="29.4" thickBot="1" x14ac:dyDescent="0.35">
      <c r="A15" s="24">
        <v>9</v>
      </c>
      <c r="B15" s="29" t="s">
        <v>18</v>
      </c>
      <c r="C15" s="36">
        <v>2044085839</v>
      </c>
      <c r="D15" s="36">
        <v>0</v>
      </c>
      <c r="E15" s="36">
        <v>0</v>
      </c>
      <c r="F15" s="36">
        <f t="shared" si="0"/>
        <v>0</v>
      </c>
      <c r="G15" s="30">
        <f t="shared" si="1"/>
        <v>0</v>
      </c>
      <c r="H15" s="27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spans="1:28" s="6" customFormat="1" ht="29.4" thickBot="1" x14ac:dyDescent="0.35">
      <c r="A16" s="24">
        <v>10</v>
      </c>
      <c r="B16" s="29" t="s">
        <v>19</v>
      </c>
      <c r="C16" s="36">
        <v>274343200</v>
      </c>
      <c r="D16" s="36">
        <v>0</v>
      </c>
      <c r="E16" s="36">
        <v>0</v>
      </c>
      <c r="F16" s="36">
        <f t="shared" si="0"/>
        <v>0</v>
      </c>
      <c r="G16" s="30">
        <f t="shared" si="1"/>
        <v>0</v>
      </c>
      <c r="H16" s="27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spans="1:28" s="6" customFormat="1" ht="15" thickBot="1" x14ac:dyDescent="0.35">
      <c r="A17" s="24">
        <v>11</v>
      </c>
      <c r="B17" s="29" t="s">
        <v>20</v>
      </c>
      <c r="C17" s="36">
        <v>288987000</v>
      </c>
      <c r="D17" s="36">
        <v>0</v>
      </c>
      <c r="E17" s="36">
        <v>0</v>
      </c>
      <c r="F17" s="36">
        <f t="shared" si="0"/>
        <v>0</v>
      </c>
      <c r="G17" s="30">
        <f t="shared" si="1"/>
        <v>0</v>
      </c>
      <c r="H17" s="27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spans="1:28" s="6" customFormat="1" ht="15" thickBot="1" x14ac:dyDescent="0.35">
      <c r="A18" s="24">
        <v>12</v>
      </c>
      <c r="B18" s="29" t="s">
        <v>21</v>
      </c>
      <c r="C18" s="36">
        <v>328213600</v>
      </c>
      <c r="D18" s="36">
        <v>0</v>
      </c>
      <c r="E18" s="36">
        <v>0</v>
      </c>
      <c r="F18" s="36">
        <f t="shared" si="0"/>
        <v>0</v>
      </c>
      <c r="G18" s="30">
        <f t="shared" si="1"/>
        <v>0</v>
      </c>
      <c r="H18" s="27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spans="1:28" s="6" customFormat="1" ht="15" thickBot="1" x14ac:dyDescent="0.35">
      <c r="A19" s="24">
        <v>13</v>
      </c>
      <c r="B19" s="29" t="s">
        <v>22</v>
      </c>
      <c r="C19" s="36">
        <v>15590893700</v>
      </c>
      <c r="D19" s="36">
        <v>0</v>
      </c>
      <c r="E19" s="36">
        <v>0</v>
      </c>
      <c r="F19" s="36">
        <f t="shared" si="0"/>
        <v>0</v>
      </c>
      <c r="G19" s="30">
        <f t="shared" si="1"/>
        <v>0</v>
      </c>
      <c r="H19" s="27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spans="1:28" s="6" customFormat="1" ht="15" thickBot="1" x14ac:dyDescent="0.35">
      <c r="A20" s="24">
        <v>14</v>
      </c>
      <c r="B20" s="29" t="s">
        <v>23</v>
      </c>
      <c r="C20" s="36">
        <v>250366320</v>
      </c>
      <c r="D20" s="36">
        <v>0</v>
      </c>
      <c r="E20" s="36">
        <v>0</v>
      </c>
      <c r="F20" s="36">
        <f t="shared" si="0"/>
        <v>0</v>
      </c>
      <c r="G20" s="30">
        <f t="shared" si="1"/>
        <v>0</v>
      </c>
      <c r="H20" s="27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spans="1:28" s="6" customFormat="1" ht="29.4" thickBot="1" x14ac:dyDescent="0.35">
      <c r="A21" s="24">
        <v>15</v>
      </c>
      <c r="B21" s="29" t="s">
        <v>24</v>
      </c>
      <c r="C21" s="36">
        <v>344442400</v>
      </c>
      <c r="D21" s="36">
        <v>0</v>
      </c>
      <c r="E21" s="36">
        <v>0</v>
      </c>
      <c r="F21" s="36">
        <f t="shared" si="0"/>
        <v>0</v>
      </c>
      <c r="G21" s="30">
        <f t="shared" si="1"/>
        <v>0</v>
      </c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spans="1:28" s="6" customFormat="1" ht="29.4" thickBot="1" x14ac:dyDescent="0.35">
      <c r="A22" s="24">
        <v>16</v>
      </c>
      <c r="B22" s="29" t="s">
        <v>4</v>
      </c>
      <c r="C22" s="36">
        <v>288888400</v>
      </c>
      <c r="D22" s="36">
        <v>0</v>
      </c>
      <c r="E22" s="36">
        <v>4623062</v>
      </c>
      <c r="F22" s="36">
        <f t="shared" si="0"/>
        <v>4623062</v>
      </c>
      <c r="G22" s="30">
        <f t="shared" si="1"/>
        <v>1.600293400496524E-2</v>
      </c>
      <c r="H22" s="27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s="6" customFormat="1" ht="15" thickBot="1" x14ac:dyDescent="0.35">
      <c r="A23" s="24">
        <v>17</v>
      </c>
      <c r="B23" s="29" t="s">
        <v>25</v>
      </c>
      <c r="C23" s="36">
        <v>566792000</v>
      </c>
      <c r="D23" s="36">
        <v>0</v>
      </c>
      <c r="E23" s="36">
        <v>0</v>
      </c>
      <c r="F23" s="36">
        <f t="shared" si="0"/>
        <v>0</v>
      </c>
      <c r="G23" s="30">
        <f t="shared" si="1"/>
        <v>0</v>
      </c>
      <c r="H23" s="27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spans="1:28" s="6" customFormat="1" ht="15" thickBot="1" x14ac:dyDescent="0.35">
      <c r="A24" s="24">
        <v>18</v>
      </c>
      <c r="B24" s="29" t="s">
        <v>26</v>
      </c>
      <c r="C24" s="36">
        <v>39361036880</v>
      </c>
      <c r="D24" s="36">
        <v>0</v>
      </c>
      <c r="E24" s="36">
        <v>0</v>
      </c>
      <c r="F24" s="36">
        <f t="shared" si="0"/>
        <v>0</v>
      </c>
      <c r="G24" s="30">
        <f t="shared" si="1"/>
        <v>0</v>
      </c>
      <c r="H24" s="27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1:28" s="6" customFormat="1" ht="29.4" thickBot="1" x14ac:dyDescent="0.35">
      <c r="A25" s="24">
        <v>19</v>
      </c>
      <c r="B25" s="29" t="s">
        <v>27</v>
      </c>
      <c r="C25" s="36">
        <v>2553473600</v>
      </c>
      <c r="D25" s="36">
        <v>0</v>
      </c>
      <c r="E25" s="36">
        <v>0</v>
      </c>
      <c r="F25" s="36">
        <f t="shared" si="0"/>
        <v>0</v>
      </c>
      <c r="G25" s="30">
        <f t="shared" si="1"/>
        <v>0</v>
      </c>
      <c r="H25" s="27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spans="1:28" s="6" customFormat="1" ht="29.4" thickBot="1" x14ac:dyDescent="0.35">
      <c r="A26" s="24">
        <v>20</v>
      </c>
      <c r="B26" s="29" t="s">
        <v>28</v>
      </c>
      <c r="C26" s="36">
        <v>698675649</v>
      </c>
      <c r="D26" s="36">
        <v>0</v>
      </c>
      <c r="E26" s="36">
        <v>0</v>
      </c>
      <c r="F26" s="36">
        <f t="shared" si="0"/>
        <v>0</v>
      </c>
      <c r="G26" s="30">
        <f t="shared" si="1"/>
        <v>0</v>
      </c>
      <c r="H26" s="27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s="6" customFormat="1" ht="15" thickBot="1" x14ac:dyDescent="0.35">
      <c r="A27" s="24">
        <v>21</v>
      </c>
      <c r="B27" s="29" t="s">
        <v>29</v>
      </c>
      <c r="C27" s="36">
        <v>343570100</v>
      </c>
      <c r="D27" s="36">
        <v>0</v>
      </c>
      <c r="E27" s="36">
        <v>0</v>
      </c>
      <c r="F27" s="36">
        <f t="shared" si="0"/>
        <v>0</v>
      </c>
      <c r="G27" s="30">
        <f t="shared" si="1"/>
        <v>0</v>
      </c>
      <c r="H27" s="27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spans="1:28" s="6" customFormat="1" ht="17.25" customHeight="1" thickBot="1" x14ac:dyDescent="0.35">
      <c r="A28" s="24">
        <v>22</v>
      </c>
      <c r="B28" s="29" t="s">
        <v>30</v>
      </c>
      <c r="C28" s="36">
        <v>1454655918</v>
      </c>
      <c r="D28" s="36">
        <v>0</v>
      </c>
      <c r="E28" s="36">
        <v>0</v>
      </c>
      <c r="F28" s="36">
        <f t="shared" si="0"/>
        <v>0</v>
      </c>
      <c r="G28" s="30">
        <f t="shared" si="1"/>
        <v>0</v>
      </c>
      <c r="H28" s="27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spans="1:28" s="6" customFormat="1" ht="29.4" thickBot="1" x14ac:dyDescent="0.35">
      <c r="A29" s="24">
        <v>23</v>
      </c>
      <c r="B29" s="29" t="s">
        <v>31</v>
      </c>
      <c r="C29" s="36">
        <v>287743880</v>
      </c>
      <c r="D29" s="36">
        <v>0</v>
      </c>
      <c r="E29" s="36">
        <v>0</v>
      </c>
      <c r="F29" s="36">
        <f t="shared" si="0"/>
        <v>0</v>
      </c>
      <c r="G29" s="30">
        <f t="shared" si="1"/>
        <v>0</v>
      </c>
      <c r="H29" s="27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spans="1:28" s="6" customFormat="1" ht="15" thickBot="1" x14ac:dyDescent="0.35">
      <c r="A30" s="24">
        <v>24</v>
      </c>
      <c r="B30" s="29" t="s">
        <v>32</v>
      </c>
      <c r="C30" s="36">
        <v>14872671130</v>
      </c>
      <c r="D30" s="36">
        <v>0</v>
      </c>
      <c r="E30" s="36">
        <v>0</v>
      </c>
      <c r="F30" s="36">
        <f t="shared" si="0"/>
        <v>0</v>
      </c>
      <c r="G30" s="30">
        <f t="shared" si="1"/>
        <v>0</v>
      </c>
      <c r="H30" s="27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28" s="6" customFormat="1" ht="43.8" thickBot="1" x14ac:dyDescent="0.35">
      <c r="A31" s="24">
        <v>25</v>
      </c>
      <c r="B31" s="29" t="s">
        <v>88</v>
      </c>
      <c r="C31" s="36">
        <v>10412307750</v>
      </c>
      <c r="D31" s="36">
        <v>0</v>
      </c>
      <c r="E31" s="36">
        <v>0</v>
      </c>
      <c r="F31" s="36">
        <f t="shared" si="0"/>
        <v>0</v>
      </c>
      <c r="G31" s="30">
        <f t="shared" si="1"/>
        <v>0</v>
      </c>
      <c r="H31" s="27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28" s="6" customFormat="1" ht="29.4" thickBot="1" x14ac:dyDescent="0.35">
      <c r="A32" s="24">
        <v>26</v>
      </c>
      <c r="B32" s="29" t="s">
        <v>33</v>
      </c>
      <c r="C32" s="36">
        <v>18473255050</v>
      </c>
      <c r="D32" s="36">
        <v>0</v>
      </c>
      <c r="E32" s="36">
        <v>0</v>
      </c>
      <c r="F32" s="36">
        <f t="shared" si="0"/>
        <v>0</v>
      </c>
      <c r="G32" s="30">
        <f t="shared" si="1"/>
        <v>0</v>
      </c>
      <c r="H32" s="27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s="6" customFormat="1" ht="29.4" thickBot="1" x14ac:dyDescent="0.35">
      <c r="A33" s="24">
        <v>27</v>
      </c>
      <c r="B33" s="29" t="s">
        <v>34</v>
      </c>
      <c r="C33" s="36">
        <v>620940989</v>
      </c>
      <c r="D33" s="36">
        <v>0</v>
      </c>
      <c r="E33" s="36">
        <v>0</v>
      </c>
      <c r="F33" s="36">
        <f t="shared" si="0"/>
        <v>0</v>
      </c>
      <c r="G33" s="30">
        <f t="shared" si="1"/>
        <v>0</v>
      </c>
      <c r="H33" s="27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s="6" customFormat="1" ht="15" thickBot="1" x14ac:dyDescent="0.35">
      <c r="A34" s="24">
        <v>28</v>
      </c>
      <c r="B34" s="29" t="s">
        <v>35</v>
      </c>
      <c r="C34" s="36">
        <v>3051758100</v>
      </c>
      <c r="D34" s="36">
        <v>0</v>
      </c>
      <c r="E34" s="36">
        <v>0</v>
      </c>
      <c r="F34" s="36">
        <f t="shared" si="0"/>
        <v>0</v>
      </c>
      <c r="G34" s="30">
        <f t="shared" si="1"/>
        <v>0</v>
      </c>
      <c r="H34" s="27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28" s="6" customFormat="1" ht="29.4" thickBot="1" x14ac:dyDescent="0.35">
      <c r="A35" s="24">
        <v>29</v>
      </c>
      <c r="B35" s="29" t="s">
        <v>36</v>
      </c>
      <c r="C35" s="36">
        <v>976900000</v>
      </c>
      <c r="D35" s="36">
        <v>0</v>
      </c>
      <c r="E35" s="36">
        <v>0</v>
      </c>
      <c r="F35" s="36">
        <f t="shared" si="0"/>
        <v>0</v>
      </c>
      <c r="G35" s="30">
        <f t="shared" si="1"/>
        <v>0</v>
      </c>
      <c r="H35" s="27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s="6" customFormat="1" ht="43.8" thickBot="1" x14ac:dyDescent="0.35">
      <c r="A36" s="24">
        <v>30</v>
      </c>
      <c r="B36" s="29" t="s">
        <v>37</v>
      </c>
      <c r="C36" s="36">
        <v>1251029588</v>
      </c>
      <c r="D36" s="36">
        <v>0</v>
      </c>
      <c r="E36" s="36">
        <v>0</v>
      </c>
      <c r="F36" s="36">
        <f t="shared" si="0"/>
        <v>0</v>
      </c>
      <c r="G36" s="30">
        <f t="shared" si="1"/>
        <v>0</v>
      </c>
      <c r="H36" s="27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1:28" s="6" customFormat="1" ht="43.8" thickBot="1" x14ac:dyDescent="0.35">
      <c r="A37" s="24">
        <v>31</v>
      </c>
      <c r="B37" s="29" t="s">
        <v>38</v>
      </c>
      <c r="C37" s="36">
        <v>863233000</v>
      </c>
      <c r="D37" s="36">
        <v>0</v>
      </c>
      <c r="E37" s="36">
        <v>0</v>
      </c>
      <c r="F37" s="36">
        <f t="shared" si="0"/>
        <v>0</v>
      </c>
      <c r="G37" s="30">
        <f t="shared" si="1"/>
        <v>0</v>
      </c>
      <c r="H37" s="27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:28" s="6" customFormat="1" ht="18.75" customHeight="1" thickBot="1" x14ac:dyDescent="0.35">
      <c r="A38" s="24">
        <v>32</v>
      </c>
      <c r="B38" s="29" t="s">
        <v>39</v>
      </c>
      <c r="C38" s="36">
        <v>1657482826</v>
      </c>
      <c r="D38" s="36">
        <v>0</v>
      </c>
      <c r="E38" s="36">
        <v>0</v>
      </c>
      <c r="F38" s="36">
        <f t="shared" si="0"/>
        <v>0</v>
      </c>
      <c r="G38" s="30">
        <f t="shared" si="1"/>
        <v>0</v>
      </c>
      <c r="H38" s="27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1:28" s="6" customFormat="1" ht="31.5" customHeight="1" thickBot="1" x14ac:dyDescent="0.35">
      <c r="A39" s="24">
        <v>33</v>
      </c>
      <c r="B39" s="29" t="s">
        <v>5</v>
      </c>
      <c r="C39" s="36">
        <v>885429400</v>
      </c>
      <c r="D39" s="36">
        <v>0</v>
      </c>
      <c r="E39" s="36">
        <v>0</v>
      </c>
      <c r="F39" s="36">
        <f t="shared" si="0"/>
        <v>0</v>
      </c>
      <c r="G39" s="30">
        <f t="shared" si="1"/>
        <v>0</v>
      </c>
      <c r="H39" s="27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:28" s="6" customFormat="1" ht="29.4" thickBot="1" x14ac:dyDescent="0.35">
      <c r="A40" s="5">
        <v>34</v>
      </c>
      <c r="B40" s="31" t="s">
        <v>6</v>
      </c>
      <c r="C40" s="37">
        <v>346898292499</v>
      </c>
      <c r="D40" s="37">
        <v>0</v>
      </c>
      <c r="E40" s="37">
        <v>0</v>
      </c>
      <c r="F40" s="37">
        <f t="shared" si="0"/>
        <v>0</v>
      </c>
      <c r="G40" s="32">
        <f t="shared" si="1"/>
        <v>0</v>
      </c>
      <c r="H40" s="27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8" s="6" customFormat="1" ht="29.4" thickBot="1" x14ac:dyDescent="0.35">
      <c r="A41" s="5">
        <v>35</v>
      </c>
      <c r="B41" s="31" t="s">
        <v>40</v>
      </c>
      <c r="C41" s="37">
        <v>1351673666</v>
      </c>
      <c r="D41" s="37">
        <v>0</v>
      </c>
      <c r="E41" s="37">
        <v>0</v>
      </c>
      <c r="F41" s="37">
        <f t="shared" si="0"/>
        <v>0</v>
      </c>
      <c r="G41" s="32">
        <f t="shared" si="1"/>
        <v>0</v>
      </c>
      <c r="H41" s="27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s="6" customFormat="1" ht="15" thickBot="1" x14ac:dyDescent="0.35">
      <c r="A42" s="5">
        <v>36</v>
      </c>
      <c r="B42" s="31" t="s">
        <v>41</v>
      </c>
      <c r="C42" s="37">
        <v>743121200</v>
      </c>
      <c r="D42" s="37">
        <v>0</v>
      </c>
      <c r="E42" s="37">
        <v>0</v>
      </c>
      <c r="F42" s="37">
        <f t="shared" si="0"/>
        <v>0</v>
      </c>
      <c r="G42" s="32">
        <f t="shared" si="1"/>
        <v>0</v>
      </c>
      <c r="H42" s="27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spans="1:28" s="6" customFormat="1" ht="29.4" thickBot="1" x14ac:dyDescent="0.35">
      <c r="A43" s="5">
        <v>37</v>
      </c>
      <c r="B43" s="31" t="s">
        <v>42</v>
      </c>
      <c r="C43" s="37">
        <v>27573789800</v>
      </c>
      <c r="D43" s="37">
        <v>0</v>
      </c>
      <c r="E43" s="37">
        <v>0</v>
      </c>
      <c r="F43" s="37">
        <f t="shared" si="0"/>
        <v>0</v>
      </c>
      <c r="G43" s="32">
        <f t="shared" si="1"/>
        <v>0</v>
      </c>
      <c r="H43" s="27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s="6" customFormat="1" ht="15" thickBot="1" x14ac:dyDescent="0.35">
      <c r="A44" s="5">
        <v>38</v>
      </c>
      <c r="B44" s="31" t="s">
        <v>43</v>
      </c>
      <c r="C44" s="37">
        <v>956342171</v>
      </c>
      <c r="D44" s="37">
        <v>0</v>
      </c>
      <c r="E44" s="37">
        <v>0</v>
      </c>
      <c r="F44" s="37">
        <f t="shared" si="0"/>
        <v>0</v>
      </c>
      <c r="G44" s="32">
        <f t="shared" si="1"/>
        <v>0</v>
      </c>
      <c r="H44" s="27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1:28" s="6" customFormat="1" ht="29.4" thickBot="1" x14ac:dyDescent="0.35">
      <c r="A45" s="5">
        <v>39</v>
      </c>
      <c r="B45" s="31" t="s">
        <v>44</v>
      </c>
      <c r="C45" s="37">
        <v>1332226375</v>
      </c>
      <c r="D45" s="37">
        <v>0</v>
      </c>
      <c r="E45" s="37">
        <v>45041322</v>
      </c>
      <c r="F45" s="37">
        <f t="shared" si="0"/>
        <v>45041322</v>
      </c>
      <c r="G45" s="32">
        <f t="shared" si="1"/>
        <v>3.3809060415877147E-2</v>
      </c>
      <c r="H45" s="27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s="6" customFormat="1" ht="31.5" customHeight="1" thickBot="1" x14ac:dyDescent="0.35">
      <c r="A46" s="5">
        <v>40</v>
      </c>
      <c r="B46" s="31" t="s">
        <v>45</v>
      </c>
      <c r="C46" s="37">
        <v>735406075</v>
      </c>
      <c r="D46" s="37">
        <v>0</v>
      </c>
      <c r="E46" s="37">
        <v>0</v>
      </c>
      <c r="F46" s="37">
        <f t="shared" si="0"/>
        <v>0</v>
      </c>
      <c r="G46" s="32">
        <f t="shared" si="1"/>
        <v>0</v>
      </c>
      <c r="H46" s="27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:28" s="6" customFormat="1" ht="29.4" thickBot="1" x14ac:dyDescent="0.35">
      <c r="A47" s="5">
        <v>41</v>
      </c>
      <c r="B47" s="31" t="s">
        <v>46</v>
      </c>
      <c r="C47" s="37">
        <v>4922693116</v>
      </c>
      <c r="D47" s="37">
        <v>0</v>
      </c>
      <c r="E47" s="37">
        <v>0</v>
      </c>
      <c r="F47" s="37">
        <f t="shared" si="0"/>
        <v>0</v>
      </c>
      <c r="G47" s="32">
        <f t="shared" si="1"/>
        <v>0</v>
      </c>
      <c r="H47" s="27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 s="6" customFormat="1" ht="15" thickBot="1" x14ac:dyDescent="0.35">
      <c r="A48" s="5">
        <v>42</v>
      </c>
      <c r="B48" s="31" t="s">
        <v>47</v>
      </c>
      <c r="C48" s="37">
        <v>7963879500</v>
      </c>
      <c r="D48" s="37">
        <v>0</v>
      </c>
      <c r="E48" s="37">
        <v>0</v>
      </c>
      <c r="F48" s="37">
        <f t="shared" si="0"/>
        <v>0</v>
      </c>
      <c r="G48" s="32">
        <f t="shared" si="1"/>
        <v>0</v>
      </c>
      <c r="H48" s="27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s="6" customFormat="1" ht="15" thickBot="1" x14ac:dyDescent="0.35">
      <c r="A49" s="5">
        <v>43</v>
      </c>
      <c r="B49" s="31" t="s">
        <v>48</v>
      </c>
      <c r="C49" s="37">
        <v>6840519200</v>
      </c>
      <c r="D49" s="37">
        <v>0</v>
      </c>
      <c r="E49" s="37">
        <v>0</v>
      </c>
      <c r="F49" s="37">
        <f t="shared" si="0"/>
        <v>0</v>
      </c>
      <c r="G49" s="32">
        <f t="shared" si="1"/>
        <v>0</v>
      </c>
      <c r="H49" s="27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spans="1:28" s="6" customFormat="1" ht="15" thickBot="1" x14ac:dyDescent="0.35">
      <c r="A50" s="5">
        <v>44</v>
      </c>
      <c r="B50" s="31" t="s">
        <v>7</v>
      </c>
      <c r="C50" s="37">
        <v>632401800</v>
      </c>
      <c r="D50" s="37">
        <v>0</v>
      </c>
      <c r="E50" s="37">
        <v>0</v>
      </c>
      <c r="F50" s="37">
        <f t="shared" si="0"/>
        <v>0</v>
      </c>
      <c r="G50" s="32">
        <f t="shared" si="1"/>
        <v>0</v>
      </c>
      <c r="H50" s="27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s="6" customFormat="1" ht="15" thickBot="1" x14ac:dyDescent="0.35">
      <c r="A51" s="5">
        <v>45</v>
      </c>
      <c r="B51" s="31" t="s">
        <v>49</v>
      </c>
      <c r="C51" s="37">
        <v>12118871165</v>
      </c>
      <c r="D51" s="37">
        <v>61575000</v>
      </c>
      <c r="E51" s="37">
        <v>44250000</v>
      </c>
      <c r="F51" s="37">
        <f t="shared" si="0"/>
        <v>105825000</v>
      </c>
      <c r="G51" s="32">
        <f t="shared" si="1"/>
        <v>8.7322489495249948E-3</v>
      </c>
      <c r="H51" s="27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1:28" s="6" customFormat="1" ht="29.4" thickBot="1" x14ac:dyDescent="0.35">
      <c r="A52" s="5">
        <v>46</v>
      </c>
      <c r="B52" s="31" t="s">
        <v>50</v>
      </c>
      <c r="C52" s="37">
        <v>2329704800</v>
      </c>
      <c r="D52" s="37">
        <v>0</v>
      </c>
      <c r="E52" s="37">
        <v>0</v>
      </c>
      <c r="F52" s="37">
        <f t="shared" si="0"/>
        <v>0</v>
      </c>
      <c r="G52" s="32">
        <f t="shared" si="1"/>
        <v>0</v>
      </c>
      <c r="H52" s="27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1:28" s="6" customFormat="1" ht="29.4" thickBot="1" x14ac:dyDescent="0.35">
      <c r="A53" s="5">
        <v>47</v>
      </c>
      <c r="B53" s="31" t="s">
        <v>51</v>
      </c>
      <c r="C53" s="37">
        <v>231600847457</v>
      </c>
      <c r="D53" s="37">
        <v>0</v>
      </c>
      <c r="E53" s="37">
        <v>0</v>
      </c>
      <c r="F53" s="37">
        <f t="shared" si="0"/>
        <v>0</v>
      </c>
      <c r="G53" s="32">
        <f t="shared" si="1"/>
        <v>0</v>
      </c>
      <c r="H53" s="27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s="6" customFormat="1" ht="15" thickBot="1" x14ac:dyDescent="0.35">
      <c r="A54" s="5">
        <v>48</v>
      </c>
      <c r="B54" s="31" t="s">
        <v>52</v>
      </c>
      <c r="C54" s="37">
        <v>850901664</v>
      </c>
      <c r="D54" s="37">
        <v>0</v>
      </c>
      <c r="E54" s="37">
        <v>0</v>
      </c>
      <c r="F54" s="37">
        <f t="shared" si="0"/>
        <v>0</v>
      </c>
      <c r="G54" s="32">
        <f t="shared" si="1"/>
        <v>0</v>
      </c>
      <c r="H54" s="27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s="6" customFormat="1" ht="15" thickBot="1" x14ac:dyDescent="0.35">
      <c r="A55" s="5">
        <v>49</v>
      </c>
      <c r="B55" s="31" t="s">
        <v>53</v>
      </c>
      <c r="C55" s="37">
        <v>170102019409</v>
      </c>
      <c r="D55" s="37">
        <v>2974518600</v>
      </c>
      <c r="E55" s="37">
        <v>0</v>
      </c>
      <c r="F55" s="37">
        <f t="shared" si="0"/>
        <v>2974518600</v>
      </c>
      <c r="G55" s="32">
        <f t="shared" si="1"/>
        <v>1.7486674234289661E-2</v>
      </c>
      <c r="H55" s="27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spans="1:28" s="14" customFormat="1" ht="15" thickBot="1" x14ac:dyDescent="0.35">
      <c r="A56" s="12"/>
      <c r="B56" s="33" t="s">
        <v>8</v>
      </c>
      <c r="C56" s="38">
        <f>SUM(C7:C55)</f>
        <v>990648217911</v>
      </c>
      <c r="D56" s="38">
        <f>SUM(D7:D55)</f>
        <v>3036093600</v>
      </c>
      <c r="E56" s="38">
        <f>SUM(E7:E55)</f>
        <v>93914384</v>
      </c>
      <c r="F56" s="38">
        <f>SUM(F6:F55)</f>
        <v>3130007990</v>
      </c>
      <c r="G56" s="34">
        <f t="shared" si="1"/>
        <v>3.159555464199301E-3</v>
      </c>
      <c r="H56" s="39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spans="1:28" ht="15" thickBot="1" x14ac:dyDescent="0.35">
      <c r="B57" s="18"/>
      <c r="C57" s="18"/>
      <c r="D57" s="18"/>
      <c r="E57" s="18"/>
      <c r="F57" s="18"/>
      <c r="G57" s="18"/>
      <c r="H57" s="18"/>
      <c r="I57" s="11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" thickBot="1" x14ac:dyDescent="0.35">
      <c r="B58" s="98" t="s">
        <v>95</v>
      </c>
      <c r="C58" s="98"/>
      <c r="D58" s="98"/>
      <c r="E58" s="98"/>
      <c r="F58" s="98"/>
      <c r="G58" s="98"/>
      <c r="H58" s="18"/>
      <c r="I58" s="11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" thickBot="1" x14ac:dyDescent="0.35">
      <c r="B59" s="18" t="s">
        <v>69</v>
      </c>
      <c r="C59" s="18"/>
      <c r="D59" s="18"/>
      <c r="E59" s="18"/>
      <c r="F59" s="18"/>
      <c r="G59" s="18"/>
      <c r="H59" s="18"/>
      <c r="I59" s="11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" thickBot="1" x14ac:dyDescent="0.35">
      <c r="B60" s="18" t="s">
        <v>71</v>
      </c>
      <c r="C60" s="18"/>
      <c r="D60" s="18"/>
      <c r="E60" s="18"/>
      <c r="F60" s="18"/>
      <c r="G60" s="18"/>
      <c r="H60" s="18"/>
      <c r="I60" s="11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" thickBot="1" x14ac:dyDescent="0.35">
      <c r="B61" s="98" t="s">
        <v>72</v>
      </c>
      <c r="C61" s="98"/>
      <c r="D61" s="98"/>
      <c r="E61" s="98"/>
      <c r="F61" s="98"/>
      <c r="G61" s="98"/>
      <c r="H61" s="18"/>
      <c r="I61" s="11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" thickBot="1" x14ac:dyDescent="0.35">
      <c r="B62" s="98" t="s">
        <v>96</v>
      </c>
      <c r="C62" s="98"/>
      <c r="D62" s="98"/>
      <c r="E62" s="98"/>
      <c r="F62" s="98"/>
      <c r="G62" s="98"/>
      <c r="H62" s="18"/>
      <c r="I62" s="11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" thickBot="1" x14ac:dyDescent="0.35">
      <c r="B63" s="98" t="s">
        <v>97</v>
      </c>
      <c r="C63" s="98"/>
      <c r="D63" s="98"/>
      <c r="E63" s="98"/>
      <c r="F63" s="98"/>
      <c r="G63" s="98"/>
      <c r="H63" s="18"/>
      <c r="I63" s="11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" thickBot="1" x14ac:dyDescent="0.35">
      <c r="B64" s="98" t="s">
        <v>98</v>
      </c>
      <c r="C64" s="98"/>
      <c r="D64" s="98"/>
      <c r="E64" s="98"/>
      <c r="F64" s="98"/>
      <c r="G64" s="98"/>
      <c r="H64" s="18"/>
      <c r="I64" s="11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2:28" ht="15" thickBot="1" x14ac:dyDescent="0.35">
      <c r="B65" s="98" t="s">
        <v>99</v>
      </c>
      <c r="C65" s="98"/>
      <c r="D65" s="98"/>
      <c r="E65" s="98"/>
      <c r="F65" s="98"/>
      <c r="G65" s="98"/>
      <c r="H65" s="18"/>
      <c r="I65" s="11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2:28" ht="15" thickBot="1" x14ac:dyDescent="0.35">
      <c r="B66" s="18"/>
      <c r="C66" s="18"/>
      <c r="D66" s="18"/>
      <c r="E66" s="18"/>
      <c r="F66" s="18"/>
      <c r="G66" s="18"/>
      <c r="H66" s="18"/>
      <c r="I66" s="11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2:28" ht="15" thickBot="1" x14ac:dyDescent="0.35">
      <c r="B67" s="18"/>
      <c r="C67" s="18"/>
      <c r="D67" s="18"/>
      <c r="E67" s="18"/>
      <c r="F67" s="18"/>
      <c r="G67" s="18"/>
      <c r="H67" s="18"/>
      <c r="I67" s="11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2:28" ht="15" thickBot="1" x14ac:dyDescent="0.35">
      <c r="B68" s="18"/>
      <c r="C68" s="18"/>
      <c r="D68" s="18"/>
      <c r="E68" s="18"/>
      <c r="F68" s="18"/>
      <c r="G68" s="18"/>
      <c r="H68" s="18"/>
      <c r="I68" s="11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2:28" ht="15" thickBot="1" x14ac:dyDescent="0.35">
      <c r="B69" s="18"/>
      <c r="C69" s="18"/>
      <c r="D69" s="18"/>
      <c r="E69" s="18"/>
      <c r="F69" s="18"/>
      <c r="G69" s="18"/>
      <c r="H69" s="18"/>
      <c r="I69" s="11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2:28" ht="15" thickBot="1" x14ac:dyDescent="0.35">
      <c r="B70" s="18"/>
      <c r="C70" s="18"/>
      <c r="D70" s="18"/>
      <c r="E70" s="18"/>
      <c r="F70" s="18"/>
      <c r="G70" s="18"/>
      <c r="H70" s="18"/>
      <c r="I70" s="11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2:28" ht="15" thickBot="1" x14ac:dyDescent="0.35">
      <c r="B71" s="18"/>
      <c r="C71" s="18"/>
      <c r="D71" s="18"/>
      <c r="E71" s="18"/>
      <c r="F71" s="18"/>
      <c r="G71" s="18"/>
      <c r="H71" s="18"/>
      <c r="I71" s="11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2:28" ht="15" thickBot="1" x14ac:dyDescent="0.35">
      <c r="B72" s="18"/>
      <c r="C72" s="18"/>
      <c r="D72" s="18"/>
      <c r="E72" s="18"/>
      <c r="F72" s="18"/>
      <c r="G72" s="18"/>
      <c r="H72" s="18"/>
      <c r="I72" s="11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2:28" ht="15" thickBot="1" x14ac:dyDescent="0.35">
      <c r="B73" s="18"/>
      <c r="C73" s="18"/>
      <c r="D73" s="18"/>
      <c r="E73" s="18"/>
      <c r="F73" s="18"/>
      <c r="G73" s="18"/>
      <c r="H73" s="18"/>
      <c r="I73" s="11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15" thickBot="1" x14ac:dyDescent="0.35">
      <c r="B74" s="18"/>
      <c r="C74" s="18"/>
      <c r="D74" s="18"/>
      <c r="E74" s="18"/>
      <c r="F74" s="18"/>
      <c r="G74" s="18"/>
      <c r="H74" s="18"/>
      <c r="I74" s="11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15" thickBot="1" x14ac:dyDescent="0.35">
      <c r="B75" s="18"/>
      <c r="C75" s="18"/>
      <c r="D75" s="18"/>
      <c r="E75" s="18"/>
      <c r="F75" s="18"/>
      <c r="G75" s="18"/>
      <c r="H75" s="18"/>
      <c r="I75" s="11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15" thickBot="1" x14ac:dyDescent="0.35">
      <c r="B76" s="18"/>
      <c r="C76" s="18"/>
      <c r="D76" s="18"/>
      <c r="E76" s="18"/>
      <c r="F76" s="18"/>
      <c r="G76" s="18"/>
      <c r="H76" s="18"/>
      <c r="I76" s="11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15" thickBot="1" x14ac:dyDescent="0.35">
      <c r="B77" s="18"/>
      <c r="C77" s="18"/>
      <c r="D77" s="18"/>
      <c r="E77" s="18"/>
      <c r="F77" s="18"/>
      <c r="G77" s="18"/>
      <c r="H77" s="18"/>
      <c r="I77" s="11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15" thickBot="1" x14ac:dyDescent="0.35">
      <c r="B78" s="18"/>
      <c r="C78" s="18"/>
      <c r="D78" s="18"/>
      <c r="E78" s="18"/>
      <c r="F78" s="18"/>
      <c r="G78" s="18"/>
      <c r="H78" s="18"/>
      <c r="I78" s="11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15" thickBot="1" x14ac:dyDescent="0.35">
      <c r="B79" s="18"/>
      <c r="C79" s="18"/>
      <c r="D79" s="18"/>
      <c r="E79" s="18"/>
      <c r="F79" s="18"/>
      <c r="G79" s="18"/>
      <c r="H79" s="18"/>
      <c r="I79" s="11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15" thickBot="1" x14ac:dyDescent="0.35">
      <c r="B80" s="18"/>
      <c r="C80" s="18"/>
      <c r="D80" s="18"/>
      <c r="E80" s="18"/>
      <c r="F80" s="18"/>
      <c r="G80" s="18"/>
      <c r="H80" s="18"/>
      <c r="I80" s="11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ht="15" thickBot="1" x14ac:dyDescent="0.35">
      <c r="B81" s="18"/>
      <c r="C81" s="18"/>
      <c r="D81" s="18"/>
      <c r="E81" s="18"/>
      <c r="F81" s="18"/>
      <c r="G81" s="18"/>
      <c r="H81" s="18"/>
      <c r="I81" s="11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2:28" ht="15" thickBot="1" x14ac:dyDescent="0.35">
      <c r="B82" s="18"/>
      <c r="C82" s="18"/>
      <c r="D82" s="18"/>
      <c r="E82" s="18"/>
      <c r="F82" s="18"/>
      <c r="G82" s="18"/>
      <c r="H82" s="18"/>
      <c r="I82" s="11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2:28" ht="15" thickBot="1" x14ac:dyDescent="0.35">
      <c r="B83" s="18"/>
      <c r="C83" s="18"/>
      <c r="D83" s="18"/>
      <c r="E83" s="18"/>
      <c r="F83" s="18"/>
      <c r="G83" s="18"/>
      <c r="H83" s="18"/>
      <c r="I83" s="11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2:28" ht="15" thickBot="1" x14ac:dyDescent="0.35">
      <c r="B84" s="18"/>
      <c r="C84" s="18"/>
      <c r="D84" s="18"/>
      <c r="E84" s="18"/>
      <c r="F84" s="18"/>
      <c r="G84" s="18"/>
      <c r="H84" s="18"/>
      <c r="I84" s="11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2:28" ht="15" thickBot="1" x14ac:dyDescent="0.35">
      <c r="B85" s="18"/>
      <c r="C85" s="18"/>
      <c r="D85" s="18"/>
      <c r="E85" s="18"/>
      <c r="F85" s="18"/>
      <c r="G85" s="18"/>
      <c r="H85" s="18"/>
      <c r="I85" s="11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2:28" ht="15" thickBot="1" x14ac:dyDescent="0.35">
      <c r="B86" s="18"/>
      <c r="C86" s="18"/>
      <c r="D86" s="18"/>
      <c r="E86" s="18"/>
      <c r="F86" s="18"/>
      <c r="G86" s="18"/>
      <c r="H86" s="18"/>
      <c r="I86" s="11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2:28" ht="15" thickBot="1" x14ac:dyDescent="0.35">
      <c r="B87" s="18"/>
      <c r="C87" s="18"/>
      <c r="D87" s="18"/>
      <c r="E87" s="18"/>
      <c r="F87" s="18"/>
      <c r="G87" s="18"/>
      <c r="H87" s="18"/>
      <c r="I87" s="11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2:28" ht="15" thickBot="1" x14ac:dyDescent="0.35">
      <c r="B88" s="18"/>
      <c r="C88" s="18"/>
      <c r="D88" s="18"/>
      <c r="E88" s="18"/>
      <c r="F88" s="18"/>
      <c r="G88" s="18"/>
      <c r="H88" s="18"/>
      <c r="I88" s="11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2:28" ht="15" thickBot="1" x14ac:dyDescent="0.35">
      <c r="B89" s="18"/>
      <c r="C89" s="18"/>
      <c r="D89" s="18"/>
      <c r="E89" s="18"/>
      <c r="F89" s="18"/>
      <c r="G89" s="18"/>
      <c r="H89" s="18"/>
      <c r="I89" s="11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2:28" ht="15" thickBot="1" x14ac:dyDescent="0.35">
      <c r="B90" s="18"/>
      <c r="C90" s="18"/>
      <c r="D90" s="18"/>
      <c r="E90" s="18"/>
      <c r="F90" s="18"/>
      <c r="G90" s="18"/>
      <c r="H90" s="18"/>
      <c r="I90" s="11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2:28" ht="15" thickBot="1" x14ac:dyDescent="0.35">
      <c r="B91" s="18"/>
      <c r="C91" s="18"/>
      <c r="D91" s="18"/>
      <c r="E91" s="18"/>
      <c r="F91" s="18"/>
      <c r="G91" s="18"/>
      <c r="H91" s="18"/>
      <c r="I91" s="11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2:28" ht="15" thickBot="1" x14ac:dyDescent="0.35">
      <c r="B92" s="18"/>
      <c r="C92" s="18"/>
      <c r="D92" s="18"/>
      <c r="E92" s="18"/>
      <c r="F92" s="18"/>
      <c r="G92" s="18"/>
      <c r="H92" s="18"/>
      <c r="I92" s="11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2:28" ht="15" thickBot="1" x14ac:dyDescent="0.35">
      <c r="B93" s="18"/>
      <c r="C93" s="18"/>
      <c r="D93" s="18"/>
      <c r="E93" s="18"/>
      <c r="F93" s="18"/>
      <c r="G93" s="18"/>
      <c r="H93" s="18"/>
      <c r="I93" s="11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2:28" ht="15" thickBot="1" x14ac:dyDescent="0.35">
      <c r="B94" s="18"/>
      <c r="C94" s="18"/>
      <c r="D94" s="18"/>
      <c r="E94" s="18"/>
      <c r="F94" s="18"/>
      <c r="G94" s="18"/>
      <c r="H94" s="18"/>
      <c r="I94" s="11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2:28" ht="15" thickBot="1" x14ac:dyDescent="0.35">
      <c r="B95" s="18"/>
      <c r="C95" s="18"/>
      <c r="D95" s="18"/>
      <c r="E95" s="18"/>
      <c r="F95" s="18"/>
      <c r="G95" s="18"/>
      <c r="H95" s="18"/>
      <c r="I95" s="11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2:28" ht="15" thickBot="1" x14ac:dyDescent="0.35">
      <c r="B96" s="18"/>
      <c r="C96" s="18"/>
      <c r="D96" s="18"/>
      <c r="E96" s="18"/>
      <c r="F96" s="18"/>
      <c r="G96" s="18"/>
      <c r="H96" s="18"/>
      <c r="I96" s="1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2:28" ht="15" thickBot="1" x14ac:dyDescent="0.35">
      <c r="B97" s="18"/>
      <c r="C97" s="18"/>
      <c r="D97" s="18"/>
      <c r="E97" s="18"/>
      <c r="F97" s="18"/>
      <c r="G97" s="18"/>
      <c r="H97" s="18"/>
      <c r="I97" s="11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2:28" ht="15" thickBot="1" x14ac:dyDescent="0.35">
      <c r="B98" s="18"/>
      <c r="C98" s="18"/>
      <c r="D98" s="18"/>
      <c r="E98" s="18"/>
      <c r="F98" s="18"/>
      <c r="G98" s="18"/>
      <c r="H98" s="18"/>
      <c r="I98" s="11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2:28" ht="15" thickBot="1" x14ac:dyDescent="0.35">
      <c r="B99" s="18"/>
      <c r="C99" s="18"/>
      <c r="D99" s="18"/>
      <c r="E99" s="18"/>
      <c r="F99" s="18"/>
      <c r="G99" s="18"/>
      <c r="H99" s="18"/>
      <c r="I99" s="11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2:28" ht="15" thickBot="1" x14ac:dyDescent="0.35">
      <c r="B100" s="18"/>
      <c r="C100" s="18"/>
      <c r="D100" s="18"/>
      <c r="E100" s="18"/>
      <c r="F100" s="18"/>
      <c r="G100" s="18"/>
      <c r="H100" s="18"/>
      <c r="I100" s="11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2:28" ht="15" thickBot="1" x14ac:dyDescent="0.35">
      <c r="B101" s="18"/>
      <c r="C101" s="18"/>
      <c r="D101" s="18"/>
      <c r="E101" s="18"/>
      <c r="F101" s="18"/>
      <c r="G101" s="18"/>
      <c r="H101" s="18"/>
      <c r="I101" s="11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2:28" ht="15" thickBot="1" x14ac:dyDescent="0.35">
      <c r="B102" s="18"/>
      <c r="C102" s="18"/>
      <c r="D102" s="18"/>
      <c r="E102" s="18"/>
      <c r="F102" s="18"/>
      <c r="G102" s="18"/>
      <c r="H102" s="18"/>
      <c r="I102" s="11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2:28" ht="15" thickBot="1" x14ac:dyDescent="0.35">
      <c r="B103" s="18"/>
      <c r="C103" s="18"/>
      <c r="D103" s="18"/>
      <c r="E103" s="18"/>
      <c r="F103" s="18"/>
      <c r="G103" s="18"/>
      <c r="H103" s="18"/>
      <c r="I103" s="11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2:28" ht="15" thickBot="1" x14ac:dyDescent="0.35">
      <c r="B104" s="18"/>
      <c r="C104" s="18"/>
      <c r="D104" s="18"/>
      <c r="E104" s="18"/>
      <c r="F104" s="18"/>
      <c r="G104" s="18"/>
      <c r="H104" s="18"/>
      <c r="I104" s="11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2:28" ht="15" thickBot="1" x14ac:dyDescent="0.35">
      <c r="B105" s="18"/>
      <c r="C105" s="18"/>
      <c r="D105" s="18"/>
      <c r="E105" s="18"/>
      <c r="F105" s="18"/>
      <c r="G105" s="18"/>
      <c r="H105" s="18"/>
      <c r="I105" s="11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2:28" ht="15" thickBot="1" x14ac:dyDescent="0.35">
      <c r="B106" s="18"/>
      <c r="C106" s="18"/>
      <c r="D106" s="18"/>
      <c r="E106" s="18"/>
      <c r="F106" s="18"/>
      <c r="G106" s="18"/>
      <c r="H106" s="18"/>
      <c r="I106" s="11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2:28" ht="15" thickBot="1" x14ac:dyDescent="0.35">
      <c r="B107" s="18"/>
      <c r="C107" s="18"/>
      <c r="D107" s="18"/>
      <c r="E107" s="18"/>
      <c r="F107" s="18"/>
      <c r="G107" s="18"/>
      <c r="H107" s="18"/>
      <c r="I107" s="11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2:28" ht="15" thickBot="1" x14ac:dyDescent="0.35">
      <c r="B108" s="18"/>
      <c r="C108" s="18"/>
      <c r="D108" s="18"/>
      <c r="E108" s="18"/>
      <c r="F108" s="18"/>
      <c r="G108" s="18"/>
      <c r="H108" s="18"/>
      <c r="I108" s="11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2:28" ht="15" thickBot="1" x14ac:dyDescent="0.35">
      <c r="B109" s="18"/>
      <c r="C109" s="18"/>
      <c r="D109" s="18"/>
      <c r="E109" s="18"/>
      <c r="F109" s="18"/>
      <c r="G109" s="18"/>
      <c r="H109" s="18"/>
      <c r="I109" s="11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2:28" ht="15" thickBot="1" x14ac:dyDescent="0.35">
      <c r="B110" s="18"/>
      <c r="C110" s="18"/>
      <c r="D110" s="18"/>
      <c r="E110" s="18"/>
      <c r="F110" s="18"/>
      <c r="G110" s="18"/>
      <c r="H110" s="18"/>
      <c r="I110" s="11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2:28" ht="15" thickBot="1" x14ac:dyDescent="0.35">
      <c r="B111" s="18"/>
      <c r="C111" s="18"/>
      <c r="D111" s="18"/>
      <c r="E111" s="18"/>
      <c r="F111" s="18"/>
      <c r="G111" s="18"/>
      <c r="H111" s="18"/>
      <c r="I111" s="11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2:28" ht="15" thickBot="1" x14ac:dyDescent="0.35">
      <c r="B112" s="18"/>
      <c r="C112" s="18"/>
      <c r="D112" s="18"/>
      <c r="E112" s="18"/>
      <c r="F112" s="18"/>
      <c r="G112" s="18"/>
      <c r="H112" s="18"/>
      <c r="I112" s="11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2:28" ht="15" thickBot="1" x14ac:dyDescent="0.35">
      <c r="B113" s="18"/>
      <c r="C113" s="18"/>
      <c r="D113" s="18"/>
      <c r="E113" s="18"/>
      <c r="F113" s="18"/>
      <c r="G113" s="18"/>
      <c r="H113" s="18"/>
      <c r="I113" s="11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2:28" ht="15" thickBot="1" x14ac:dyDescent="0.35">
      <c r="B114" s="18"/>
      <c r="C114" s="18"/>
      <c r="D114" s="18"/>
      <c r="E114" s="18"/>
      <c r="F114" s="18"/>
      <c r="G114" s="18"/>
      <c r="H114" s="18"/>
      <c r="I114" s="11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2:28" ht="15" thickBot="1" x14ac:dyDescent="0.35">
      <c r="B115" s="18"/>
      <c r="C115" s="18"/>
      <c r="D115" s="18"/>
      <c r="E115" s="18"/>
      <c r="F115" s="18"/>
      <c r="G115" s="18"/>
      <c r="H115" s="18"/>
      <c r="I115" s="11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2:28" ht="15" thickBot="1" x14ac:dyDescent="0.35">
      <c r="B116" s="18"/>
      <c r="C116" s="18"/>
      <c r="D116" s="18"/>
      <c r="E116" s="18"/>
      <c r="F116" s="18"/>
      <c r="G116" s="18"/>
      <c r="H116" s="18"/>
      <c r="I116" s="11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2:28" ht="15" thickBot="1" x14ac:dyDescent="0.35">
      <c r="B117" s="18"/>
      <c r="C117" s="18"/>
      <c r="D117" s="18"/>
      <c r="E117" s="18"/>
      <c r="F117" s="18"/>
      <c r="G117" s="18"/>
      <c r="H117" s="18"/>
      <c r="I117" s="11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2:28" ht="15" thickBot="1" x14ac:dyDescent="0.35">
      <c r="B118" s="18"/>
      <c r="C118" s="18"/>
      <c r="D118" s="18"/>
      <c r="E118" s="18"/>
      <c r="F118" s="18"/>
      <c r="G118" s="18"/>
      <c r="H118" s="18"/>
      <c r="I118" s="11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2:28" ht="15" thickBot="1" x14ac:dyDescent="0.35">
      <c r="B119" s="18"/>
      <c r="C119" s="18"/>
      <c r="D119" s="18"/>
      <c r="E119" s="18"/>
      <c r="F119" s="18"/>
      <c r="G119" s="18"/>
      <c r="H119" s="18"/>
      <c r="I119" s="11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2:28" ht="15" thickBot="1" x14ac:dyDescent="0.35">
      <c r="B120" s="18"/>
      <c r="C120" s="18"/>
      <c r="D120" s="18"/>
      <c r="E120" s="18"/>
      <c r="F120" s="18"/>
      <c r="G120" s="18"/>
      <c r="H120" s="18"/>
      <c r="I120" s="11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2:28" ht="15" thickBot="1" x14ac:dyDescent="0.35">
      <c r="B121" s="18"/>
      <c r="C121" s="18"/>
      <c r="D121" s="18"/>
      <c r="E121" s="18"/>
      <c r="F121" s="18"/>
      <c r="G121" s="18"/>
      <c r="H121" s="18"/>
      <c r="I121" s="11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2:28" ht="15" thickBot="1" x14ac:dyDescent="0.35">
      <c r="B122" s="18"/>
      <c r="C122" s="18"/>
      <c r="D122" s="18"/>
      <c r="E122" s="18"/>
      <c r="F122" s="18"/>
      <c r="G122" s="18"/>
      <c r="H122" s="18"/>
      <c r="I122" s="11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2:28" ht="15" thickBot="1" x14ac:dyDescent="0.35">
      <c r="B123" s="18"/>
      <c r="C123" s="18"/>
      <c r="D123" s="18"/>
      <c r="E123" s="18"/>
      <c r="F123" s="18"/>
      <c r="G123" s="18"/>
      <c r="H123" s="18"/>
      <c r="I123" s="11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2:28" ht="15" thickBot="1" x14ac:dyDescent="0.35">
      <c r="B124" s="18"/>
      <c r="C124" s="18"/>
      <c r="D124" s="18"/>
      <c r="E124" s="18"/>
      <c r="F124" s="18"/>
      <c r="G124" s="18"/>
      <c r="H124" s="18"/>
      <c r="I124" s="11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2:28" ht="15" thickBot="1" x14ac:dyDescent="0.35">
      <c r="B125" s="18"/>
      <c r="C125" s="18"/>
      <c r="D125" s="18"/>
      <c r="E125" s="18"/>
      <c r="F125" s="18"/>
      <c r="G125" s="18"/>
      <c r="H125" s="18"/>
      <c r="I125" s="11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2:28" ht="15" thickBot="1" x14ac:dyDescent="0.35">
      <c r="B126" s="18"/>
      <c r="C126" s="18"/>
      <c r="D126" s="18"/>
      <c r="E126" s="18"/>
      <c r="F126" s="18"/>
      <c r="G126" s="18"/>
      <c r="H126" s="18"/>
      <c r="I126" s="11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2:28" ht="15" thickBot="1" x14ac:dyDescent="0.35">
      <c r="B127" s="18"/>
      <c r="C127" s="18"/>
      <c r="D127" s="18"/>
      <c r="E127" s="18"/>
      <c r="F127" s="18"/>
      <c r="G127" s="18"/>
      <c r="H127" s="18"/>
      <c r="I127" s="11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2:28" ht="15" thickBot="1" x14ac:dyDescent="0.35">
      <c r="B128" s="18"/>
      <c r="C128" s="18"/>
      <c r="D128" s="18"/>
      <c r="E128" s="18"/>
      <c r="F128" s="18"/>
      <c r="G128" s="18"/>
      <c r="H128" s="18"/>
      <c r="I128" s="11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2:28" ht="15" thickBot="1" x14ac:dyDescent="0.35">
      <c r="B129" s="18"/>
      <c r="C129" s="18"/>
      <c r="D129" s="18"/>
      <c r="E129" s="18"/>
      <c r="F129" s="18"/>
      <c r="G129" s="18"/>
      <c r="H129" s="18"/>
      <c r="I129" s="11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2:28" ht="15" thickBot="1" x14ac:dyDescent="0.35">
      <c r="B130" s="18"/>
      <c r="C130" s="18"/>
      <c r="D130" s="18"/>
      <c r="E130" s="18"/>
      <c r="F130" s="18"/>
      <c r="G130" s="18"/>
      <c r="H130" s="18"/>
      <c r="I130" s="11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2:28" ht="15" thickBot="1" x14ac:dyDescent="0.35">
      <c r="B131" s="18"/>
      <c r="C131" s="18"/>
      <c r="D131" s="18"/>
      <c r="E131" s="18"/>
      <c r="F131" s="18"/>
      <c r="G131" s="18"/>
      <c r="H131" s="18"/>
      <c r="I131" s="11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2:28" ht="15" thickBot="1" x14ac:dyDescent="0.35">
      <c r="B132" s="18"/>
      <c r="C132" s="18"/>
      <c r="D132" s="18"/>
      <c r="E132" s="18"/>
      <c r="F132" s="18"/>
      <c r="G132" s="18"/>
      <c r="H132" s="18"/>
      <c r="I132" s="11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2:28" ht="15" thickBot="1" x14ac:dyDescent="0.35">
      <c r="B133" s="18"/>
      <c r="C133" s="18"/>
      <c r="D133" s="18"/>
      <c r="E133" s="18"/>
      <c r="F133" s="18"/>
      <c r="G133" s="18"/>
      <c r="H133" s="18"/>
      <c r="I133" s="11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2:28" ht="15" thickBot="1" x14ac:dyDescent="0.35">
      <c r="B134" s="18"/>
      <c r="C134" s="18"/>
      <c r="D134" s="18"/>
      <c r="E134" s="18"/>
      <c r="F134" s="18"/>
      <c r="G134" s="18"/>
      <c r="H134" s="18"/>
      <c r="I134" s="11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2:28" ht="15" thickBot="1" x14ac:dyDescent="0.35">
      <c r="B135" s="18"/>
      <c r="C135" s="18"/>
      <c r="D135" s="18"/>
      <c r="E135" s="18"/>
      <c r="F135" s="18"/>
      <c r="G135" s="18"/>
      <c r="H135" s="18"/>
      <c r="I135" s="11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2:28" ht="15" thickBot="1" x14ac:dyDescent="0.35">
      <c r="B136" s="18"/>
      <c r="C136" s="18"/>
      <c r="D136" s="18"/>
      <c r="E136" s="18"/>
      <c r="F136" s="18"/>
      <c r="G136" s="18"/>
      <c r="H136" s="18"/>
      <c r="I136" s="11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2:28" ht="15" thickBot="1" x14ac:dyDescent="0.35">
      <c r="B137" s="18"/>
      <c r="C137" s="18"/>
      <c r="D137" s="18"/>
      <c r="E137" s="18"/>
      <c r="F137" s="18"/>
      <c r="G137" s="18"/>
      <c r="H137" s="18"/>
      <c r="I137" s="11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2:28" ht="15" thickBot="1" x14ac:dyDescent="0.35">
      <c r="B138" s="18"/>
      <c r="C138" s="18"/>
      <c r="D138" s="18"/>
      <c r="E138" s="18"/>
      <c r="F138" s="18"/>
      <c r="G138" s="18"/>
      <c r="H138" s="18"/>
      <c r="I138" s="11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2:28" ht="15" thickBot="1" x14ac:dyDescent="0.35">
      <c r="B139" s="18"/>
      <c r="C139" s="18"/>
      <c r="D139" s="18"/>
      <c r="E139" s="18"/>
      <c r="F139" s="18"/>
      <c r="G139" s="18"/>
      <c r="H139" s="18"/>
      <c r="I139" s="11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2:28" ht="15" thickBot="1" x14ac:dyDescent="0.35">
      <c r="B140" s="18"/>
      <c r="C140" s="18"/>
      <c r="D140" s="18"/>
      <c r="E140" s="18"/>
      <c r="F140" s="18"/>
      <c r="G140" s="18"/>
      <c r="H140" s="18"/>
      <c r="I140" s="11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2:28" ht="15" thickBot="1" x14ac:dyDescent="0.35">
      <c r="B141" s="18"/>
      <c r="C141" s="18"/>
      <c r="D141" s="18"/>
      <c r="E141" s="18"/>
      <c r="F141" s="18"/>
      <c r="G141" s="18"/>
      <c r="H141" s="18"/>
      <c r="I141" s="11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2:28" ht="15" thickBot="1" x14ac:dyDescent="0.35">
      <c r="B142" s="18"/>
      <c r="C142" s="18"/>
      <c r="D142" s="18"/>
      <c r="E142" s="18"/>
      <c r="F142" s="18"/>
      <c r="G142" s="18"/>
      <c r="H142" s="18"/>
      <c r="I142" s="11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2:28" ht="15" thickBot="1" x14ac:dyDescent="0.35">
      <c r="B143" s="18"/>
      <c r="C143" s="18"/>
      <c r="D143" s="18"/>
      <c r="E143" s="18"/>
      <c r="F143" s="18"/>
      <c r="G143" s="18"/>
      <c r="H143" s="18"/>
      <c r="I143" s="11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2:28" ht="15" thickBot="1" x14ac:dyDescent="0.35">
      <c r="B144" s="18"/>
      <c r="C144" s="18"/>
      <c r="D144" s="18"/>
      <c r="E144" s="18"/>
      <c r="F144" s="18"/>
      <c r="G144" s="18"/>
      <c r="H144" s="18"/>
      <c r="I144" s="11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2:28" ht="15" thickBot="1" x14ac:dyDescent="0.35">
      <c r="B145" s="18"/>
      <c r="C145" s="18"/>
      <c r="D145" s="18"/>
      <c r="E145" s="18"/>
      <c r="F145" s="18"/>
      <c r="G145" s="18"/>
      <c r="H145" s="18"/>
      <c r="I145" s="11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2:28" ht="15" thickBot="1" x14ac:dyDescent="0.35">
      <c r="B146" s="18"/>
      <c r="C146" s="18"/>
      <c r="D146" s="18"/>
      <c r="E146" s="18"/>
      <c r="F146" s="18"/>
      <c r="G146" s="18"/>
      <c r="H146" s="18"/>
      <c r="I146" s="11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2:28" ht="15" thickBot="1" x14ac:dyDescent="0.35">
      <c r="B147" s="18"/>
      <c r="C147" s="18"/>
      <c r="D147" s="18"/>
      <c r="E147" s="18"/>
      <c r="F147" s="18"/>
      <c r="G147" s="18"/>
      <c r="H147" s="18"/>
      <c r="I147" s="11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2:28" ht="15" thickBot="1" x14ac:dyDescent="0.35">
      <c r="B148" s="18"/>
      <c r="C148" s="18"/>
      <c r="D148" s="18"/>
      <c r="E148" s="18"/>
      <c r="F148" s="18"/>
      <c r="G148" s="18"/>
      <c r="H148" s="18"/>
      <c r="I148" s="11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2:28" ht="15" thickBot="1" x14ac:dyDescent="0.35">
      <c r="B149" s="18"/>
      <c r="C149" s="18"/>
      <c r="D149" s="18"/>
      <c r="E149" s="18"/>
      <c r="F149" s="18"/>
      <c r="G149" s="18"/>
      <c r="H149" s="18"/>
      <c r="I149" s="11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2:28" ht="15" thickBot="1" x14ac:dyDescent="0.35">
      <c r="B150" s="18"/>
      <c r="C150" s="18"/>
      <c r="D150" s="18"/>
      <c r="E150" s="18"/>
      <c r="F150" s="18"/>
      <c r="G150" s="18"/>
      <c r="H150" s="18"/>
      <c r="I150" s="11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2:28" ht="15" thickBot="1" x14ac:dyDescent="0.35">
      <c r="B151" s="18"/>
      <c r="C151" s="18"/>
      <c r="D151" s="18"/>
      <c r="E151" s="18"/>
      <c r="F151" s="18"/>
      <c r="G151" s="18"/>
      <c r="H151" s="18"/>
      <c r="I151" s="11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2:28" ht="15" thickBot="1" x14ac:dyDescent="0.35">
      <c r="B152" s="18"/>
      <c r="C152" s="18"/>
      <c r="D152" s="18"/>
      <c r="E152" s="18"/>
      <c r="F152" s="18"/>
      <c r="G152" s="18"/>
      <c r="H152" s="18"/>
      <c r="I152" s="11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2:28" ht="15" thickBot="1" x14ac:dyDescent="0.35">
      <c r="B153" s="18"/>
      <c r="C153" s="18"/>
      <c r="D153" s="18"/>
      <c r="E153" s="18"/>
      <c r="F153" s="18"/>
      <c r="G153" s="18"/>
      <c r="H153" s="18"/>
      <c r="I153" s="11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2:28" ht="15" thickBot="1" x14ac:dyDescent="0.35">
      <c r="B154" s="18"/>
      <c r="C154" s="18"/>
      <c r="D154" s="18"/>
      <c r="E154" s="18"/>
      <c r="F154" s="18"/>
      <c r="G154" s="18"/>
      <c r="H154" s="18"/>
      <c r="I154" s="11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2:28" ht="15" thickBot="1" x14ac:dyDescent="0.35">
      <c r="B155" s="18"/>
      <c r="C155" s="18"/>
      <c r="D155" s="18"/>
      <c r="E155" s="18"/>
      <c r="F155" s="18"/>
      <c r="G155" s="18"/>
      <c r="H155" s="18"/>
      <c r="I155" s="11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2:28" ht="15" thickBot="1" x14ac:dyDescent="0.35">
      <c r="B156" s="18"/>
      <c r="C156" s="18"/>
      <c r="D156" s="18"/>
      <c r="E156" s="18"/>
      <c r="F156" s="18"/>
      <c r="G156" s="18"/>
      <c r="H156" s="18"/>
      <c r="I156" s="11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2:28" ht="15" thickBot="1" x14ac:dyDescent="0.35">
      <c r="B157" s="18"/>
      <c r="C157" s="18"/>
      <c r="D157" s="18"/>
      <c r="E157" s="18"/>
      <c r="F157" s="18"/>
      <c r="G157" s="18"/>
      <c r="H157" s="18"/>
      <c r="I157" s="11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2:28" ht="15" thickBot="1" x14ac:dyDescent="0.35">
      <c r="B158" s="18"/>
      <c r="C158" s="18"/>
      <c r="D158" s="18"/>
      <c r="E158" s="18"/>
      <c r="F158" s="18"/>
      <c r="G158" s="18"/>
      <c r="H158" s="18"/>
      <c r="I158" s="11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2:28" ht="15" thickBot="1" x14ac:dyDescent="0.35">
      <c r="B159" s="18"/>
      <c r="C159" s="18"/>
      <c r="D159" s="18"/>
      <c r="E159" s="18"/>
      <c r="F159" s="18"/>
      <c r="G159" s="18"/>
      <c r="H159" s="18"/>
      <c r="I159" s="11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2:28" ht="15" thickBot="1" x14ac:dyDescent="0.35">
      <c r="B160" s="18"/>
      <c r="C160" s="18"/>
      <c r="D160" s="18"/>
      <c r="E160" s="18"/>
      <c r="F160" s="18"/>
      <c r="G160" s="18"/>
      <c r="H160" s="18"/>
      <c r="I160" s="11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2:28" ht="15" thickBot="1" x14ac:dyDescent="0.35">
      <c r="B161" s="18"/>
      <c r="C161" s="18"/>
      <c r="D161" s="18"/>
      <c r="E161" s="18"/>
      <c r="F161" s="18"/>
      <c r="G161" s="18"/>
      <c r="H161" s="18"/>
      <c r="I161" s="11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2:28" ht="15" thickBot="1" x14ac:dyDescent="0.35">
      <c r="B162" s="18"/>
      <c r="C162" s="18"/>
      <c r="D162" s="18"/>
      <c r="E162" s="18"/>
      <c r="F162" s="18"/>
      <c r="G162" s="18"/>
      <c r="H162" s="18"/>
      <c r="I162" s="11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2:28" ht="15" thickBot="1" x14ac:dyDescent="0.35">
      <c r="B163" s="18"/>
      <c r="C163" s="18"/>
      <c r="D163" s="18"/>
      <c r="E163" s="18"/>
      <c r="F163" s="18"/>
      <c r="G163" s="18"/>
      <c r="H163" s="18"/>
      <c r="I163" s="11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2:28" ht="15" thickBot="1" x14ac:dyDescent="0.35">
      <c r="B164" s="18"/>
      <c r="C164" s="18"/>
      <c r="D164" s="18"/>
      <c r="E164" s="18"/>
      <c r="F164" s="18"/>
      <c r="G164" s="18"/>
      <c r="H164" s="18"/>
      <c r="I164" s="11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2:28" ht="15" thickBot="1" x14ac:dyDescent="0.35">
      <c r="B165" s="18"/>
      <c r="C165" s="18"/>
      <c r="D165" s="18"/>
      <c r="E165" s="18"/>
      <c r="F165" s="18"/>
      <c r="G165" s="18"/>
      <c r="H165" s="18"/>
      <c r="I165" s="11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2:28" ht="15" thickBot="1" x14ac:dyDescent="0.35">
      <c r="B166" s="18"/>
      <c r="C166" s="18"/>
      <c r="D166" s="18"/>
      <c r="E166" s="18"/>
      <c r="F166" s="18"/>
      <c r="G166" s="18"/>
      <c r="H166" s="18"/>
      <c r="I166" s="11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2:28" ht="15" thickBot="1" x14ac:dyDescent="0.35">
      <c r="B167" s="18"/>
      <c r="C167" s="18"/>
      <c r="D167" s="18"/>
      <c r="E167" s="18"/>
      <c r="F167" s="18"/>
      <c r="G167" s="18"/>
      <c r="H167" s="18"/>
      <c r="I167" s="11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2:28" ht="15" thickBot="1" x14ac:dyDescent="0.35">
      <c r="B168" s="18"/>
      <c r="C168" s="18"/>
      <c r="D168" s="18"/>
      <c r="E168" s="18"/>
      <c r="F168" s="18"/>
      <c r="G168" s="18"/>
      <c r="H168" s="18"/>
      <c r="I168" s="11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2:28" ht="15" thickBot="1" x14ac:dyDescent="0.35">
      <c r="B169" s="18"/>
      <c r="C169" s="18"/>
      <c r="D169" s="18"/>
      <c r="E169" s="18"/>
      <c r="F169" s="18"/>
      <c r="G169" s="18"/>
      <c r="H169" s="18"/>
      <c r="I169" s="11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2:28" ht="15" thickBot="1" x14ac:dyDescent="0.35">
      <c r="B170" s="18"/>
      <c r="C170" s="18"/>
      <c r="D170" s="18"/>
      <c r="E170" s="18"/>
      <c r="F170" s="18"/>
      <c r="G170" s="18"/>
      <c r="H170" s="18"/>
      <c r="I170" s="11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2:28" ht="15" thickBot="1" x14ac:dyDescent="0.35">
      <c r="B171" s="18"/>
      <c r="C171" s="18"/>
      <c r="D171" s="18"/>
      <c r="E171" s="18"/>
      <c r="F171" s="18"/>
      <c r="G171" s="18"/>
      <c r="H171" s="18"/>
      <c r="I171" s="11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2:28" ht="15" thickBot="1" x14ac:dyDescent="0.35">
      <c r="B172" s="18"/>
      <c r="C172" s="18"/>
      <c r="D172" s="18"/>
      <c r="E172" s="18"/>
      <c r="F172" s="18"/>
      <c r="G172" s="18"/>
      <c r="H172" s="18"/>
      <c r="I172" s="11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2:28" ht="15" thickBot="1" x14ac:dyDescent="0.35">
      <c r="B173" s="18"/>
      <c r="C173" s="18"/>
      <c r="D173" s="18"/>
      <c r="E173" s="18"/>
      <c r="F173" s="18"/>
      <c r="G173" s="18"/>
      <c r="H173" s="18"/>
      <c r="I173" s="11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2:28" ht="15" thickBot="1" x14ac:dyDescent="0.35">
      <c r="B174" s="18"/>
      <c r="C174" s="18"/>
      <c r="D174" s="18"/>
      <c r="E174" s="18"/>
      <c r="F174" s="18"/>
      <c r="G174" s="18"/>
      <c r="H174" s="18"/>
      <c r="I174" s="11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2:28" ht="15" thickBot="1" x14ac:dyDescent="0.35">
      <c r="B175" s="18"/>
      <c r="C175" s="18"/>
      <c r="D175" s="18"/>
      <c r="E175" s="18"/>
      <c r="F175" s="18"/>
      <c r="G175" s="18"/>
      <c r="H175" s="18"/>
      <c r="I175" s="11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2:28" ht="15" thickBot="1" x14ac:dyDescent="0.35">
      <c r="B176" s="18"/>
      <c r="C176" s="18"/>
      <c r="D176" s="18"/>
      <c r="E176" s="18"/>
      <c r="F176" s="18"/>
      <c r="G176" s="18"/>
      <c r="H176" s="18"/>
      <c r="I176" s="11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2:28" ht="15" thickBot="1" x14ac:dyDescent="0.35">
      <c r="B177" s="18"/>
      <c r="C177" s="18"/>
      <c r="D177" s="18"/>
      <c r="E177" s="18"/>
      <c r="F177" s="18"/>
      <c r="G177" s="18"/>
      <c r="H177" s="18"/>
      <c r="I177" s="11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2:28" ht="15" thickBot="1" x14ac:dyDescent="0.35">
      <c r="B178" s="18"/>
      <c r="C178" s="18"/>
      <c r="D178" s="18"/>
      <c r="E178" s="18"/>
      <c r="F178" s="18"/>
      <c r="G178" s="18"/>
      <c r="H178" s="18"/>
      <c r="I178" s="11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2:28" ht="15" thickBot="1" x14ac:dyDescent="0.35">
      <c r="B179" s="18"/>
      <c r="C179" s="18"/>
      <c r="D179" s="18"/>
      <c r="E179" s="18"/>
      <c r="F179" s="18"/>
      <c r="G179" s="18"/>
      <c r="H179" s="18"/>
      <c r="I179" s="11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2:28" ht="15" thickBot="1" x14ac:dyDescent="0.35">
      <c r="B180" s="18"/>
      <c r="C180" s="18"/>
      <c r="D180" s="18"/>
      <c r="E180" s="18"/>
      <c r="F180" s="18"/>
      <c r="G180" s="18"/>
      <c r="H180" s="18"/>
      <c r="I180" s="11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2:28" ht="15" thickBot="1" x14ac:dyDescent="0.35">
      <c r="B181" s="18"/>
      <c r="C181" s="18"/>
      <c r="D181" s="18"/>
      <c r="E181" s="18"/>
      <c r="F181" s="18"/>
      <c r="G181" s="18"/>
      <c r="H181" s="18"/>
      <c r="I181" s="11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2:28" ht="15" thickBot="1" x14ac:dyDescent="0.35">
      <c r="B182" s="18"/>
      <c r="C182" s="18"/>
      <c r="D182" s="18"/>
      <c r="E182" s="18"/>
      <c r="F182" s="18"/>
      <c r="G182" s="18"/>
      <c r="H182" s="18"/>
      <c r="I182" s="11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2:28" ht="15" thickBot="1" x14ac:dyDescent="0.35">
      <c r="B183" s="18"/>
      <c r="C183" s="18"/>
      <c r="D183" s="18"/>
      <c r="E183" s="18"/>
      <c r="F183" s="18"/>
      <c r="G183" s="18"/>
      <c r="H183" s="18"/>
      <c r="I183" s="11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2:28" ht="15" thickBot="1" x14ac:dyDescent="0.35">
      <c r="B184" s="18"/>
      <c r="C184" s="18"/>
      <c r="D184" s="18"/>
      <c r="E184" s="18"/>
      <c r="F184" s="18"/>
      <c r="G184" s="18"/>
      <c r="H184" s="18"/>
      <c r="I184" s="11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2:28" ht="15" thickBot="1" x14ac:dyDescent="0.35">
      <c r="B185" s="18"/>
      <c r="C185" s="18"/>
      <c r="D185" s="18"/>
      <c r="E185" s="18"/>
      <c r="F185" s="18"/>
      <c r="G185" s="18"/>
      <c r="H185" s="18"/>
      <c r="I185" s="11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2:28" ht="15" thickBot="1" x14ac:dyDescent="0.35">
      <c r="B186" s="18"/>
      <c r="C186" s="18"/>
      <c r="D186" s="18"/>
      <c r="E186" s="18"/>
      <c r="F186" s="18"/>
      <c r="G186" s="18"/>
      <c r="H186" s="18"/>
      <c r="I186" s="11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2:28" ht="15" thickBot="1" x14ac:dyDescent="0.35">
      <c r="B187" s="18"/>
      <c r="C187" s="18"/>
      <c r="D187" s="18"/>
      <c r="E187" s="18"/>
      <c r="F187" s="18"/>
      <c r="G187" s="18"/>
      <c r="H187" s="18"/>
      <c r="I187" s="11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2:28" ht="15" thickBot="1" x14ac:dyDescent="0.35">
      <c r="B188" s="18"/>
      <c r="C188" s="18"/>
      <c r="D188" s="18"/>
      <c r="E188" s="18"/>
      <c r="F188" s="18"/>
      <c r="G188" s="18"/>
      <c r="H188" s="18"/>
      <c r="I188" s="11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2:28" ht="15" thickBot="1" x14ac:dyDescent="0.35">
      <c r="B189" s="18"/>
      <c r="C189" s="18"/>
      <c r="D189" s="18"/>
      <c r="E189" s="18"/>
      <c r="F189" s="18"/>
      <c r="G189" s="18"/>
      <c r="H189" s="18"/>
      <c r="I189" s="11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2:28" ht="15" thickBot="1" x14ac:dyDescent="0.35">
      <c r="B190" s="18"/>
      <c r="C190" s="18"/>
      <c r="D190" s="18"/>
      <c r="E190" s="18"/>
      <c r="F190" s="18"/>
      <c r="G190" s="18"/>
      <c r="H190" s="18"/>
      <c r="I190" s="11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2:28" ht="15" thickBot="1" x14ac:dyDescent="0.35">
      <c r="B191" s="18"/>
      <c r="C191" s="18"/>
      <c r="D191" s="18"/>
      <c r="E191" s="18"/>
      <c r="F191" s="18"/>
      <c r="G191" s="18"/>
      <c r="H191" s="18"/>
      <c r="I191" s="11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2:28" ht="15" thickBot="1" x14ac:dyDescent="0.35">
      <c r="B192" s="18"/>
      <c r="C192" s="18"/>
      <c r="D192" s="18"/>
      <c r="E192" s="18"/>
      <c r="F192" s="18"/>
      <c r="G192" s="18"/>
      <c r="H192" s="18"/>
      <c r="I192" s="11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2:28" ht="15" thickBot="1" x14ac:dyDescent="0.35">
      <c r="B193" s="18"/>
      <c r="C193" s="18"/>
      <c r="D193" s="18"/>
      <c r="E193" s="18"/>
      <c r="F193" s="18"/>
      <c r="G193" s="18"/>
      <c r="H193" s="18"/>
      <c r="I193" s="11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2:28" ht="15" thickBot="1" x14ac:dyDescent="0.35">
      <c r="B194" s="18"/>
      <c r="C194" s="18"/>
      <c r="D194" s="18"/>
      <c r="E194" s="18"/>
      <c r="F194" s="18"/>
      <c r="G194" s="18"/>
      <c r="H194" s="18"/>
      <c r="I194" s="11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2:28" ht="15" thickBot="1" x14ac:dyDescent="0.35">
      <c r="B195" s="18"/>
      <c r="C195" s="18"/>
      <c r="D195" s="18"/>
      <c r="E195" s="18"/>
      <c r="F195" s="18"/>
      <c r="G195" s="18"/>
      <c r="H195" s="18"/>
      <c r="I195" s="11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2:28" ht="15" thickBot="1" x14ac:dyDescent="0.35">
      <c r="B196" s="18"/>
      <c r="C196" s="18"/>
      <c r="D196" s="18"/>
      <c r="E196" s="18"/>
      <c r="F196" s="18"/>
      <c r="G196" s="18"/>
      <c r="H196" s="18"/>
      <c r="I196" s="11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2:28" ht="15" thickBot="1" x14ac:dyDescent="0.35">
      <c r="B197" s="18"/>
      <c r="C197" s="18"/>
      <c r="D197" s="18"/>
      <c r="E197" s="18"/>
      <c r="F197" s="18"/>
      <c r="G197" s="18"/>
      <c r="H197" s="18"/>
      <c r="I197" s="11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2:28" ht="15" thickBot="1" x14ac:dyDescent="0.35">
      <c r="B198" s="18"/>
      <c r="C198" s="18"/>
      <c r="D198" s="18"/>
      <c r="E198" s="18"/>
      <c r="F198" s="18"/>
      <c r="G198" s="18"/>
      <c r="H198" s="18"/>
      <c r="I198" s="11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2:28" ht="15" thickBot="1" x14ac:dyDescent="0.35">
      <c r="B199" s="18"/>
      <c r="C199" s="18"/>
      <c r="D199" s="18"/>
      <c r="E199" s="18"/>
      <c r="F199" s="18"/>
      <c r="G199" s="18"/>
      <c r="H199" s="18"/>
      <c r="I199" s="11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2:28" ht="15" thickBot="1" x14ac:dyDescent="0.35">
      <c r="B200" s="18"/>
      <c r="C200" s="18"/>
      <c r="D200" s="18"/>
      <c r="E200" s="18"/>
      <c r="F200" s="18"/>
      <c r="G200" s="18"/>
      <c r="H200" s="18"/>
      <c r="I200" s="11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2:28" ht="15" thickBot="1" x14ac:dyDescent="0.35">
      <c r="B201" s="18"/>
      <c r="C201" s="18"/>
      <c r="D201" s="18"/>
      <c r="E201" s="18"/>
      <c r="F201" s="18"/>
      <c r="G201" s="18"/>
      <c r="H201" s="18"/>
      <c r="I201" s="11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2:28" ht="15" thickBot="1" x14ac:dyDescent="0.35">
      <c r="B202" s="18"/>
      <c r="C202" s="18"/>
      <c r="D202" s="18"/>
      <c r="E202" s="18"/>
      <c r="F202" s="18"/>
      <c r="G202" s="18"/>
      <c r="H202" s="18"/>
      <c r="I202" s="11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2:28" ht="15" thickBot="1" x14ac:dyDescent="0.35">
      <c r="B203" s="18"/>
      <c r="C203" s="18"/>
      <c r="D203" s="18"/>
      <c r="E203" s="18"/>
      <c r="F203" s="18"/>
      <c r="G203" s="18"/>
      <c r="H203" s="18"/>
      <c r="I203" s="11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2:28" ht="15" thickBot="1" x14ac:dyDescent="0.35">
      <c r="B204" s="18"/>
      <c r="C204" s="18"/>
      <c r="D204" s="18"/>
      <c r="E204" s="18"/>
      <c r="F204" s="18"/>
      <c r="G204" s="18"/>
      <c r="H204" s="18"/>
      <c r="I204" s="11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2:28" ht="15" thickBot="1" x14ac:dyDescent="0.35">
      <c r="B205" s="18"/>
      <c r="C205" s="18"/>
      <c r="D205" s="18"/>
      <c r="E205" s="18"/>
      <c r="F205" s="18"/>
      <c r="G205" s="18"/>
      <c r="H205" s="18"/>
      <c r="I205" s="11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2:28" ht="15" thickBot="1" x14ac:dyDescent="0.35">
      <c r="B206" s="18"/>
      <c r="C206" s="18"/>
      <c r="D206" s="18"/>
      <c r="E206" s="18"/>
      <c r="F206" s="18"/>
      <c r="G206" s="18"/>
      <c r="H206" s="18"/>
      <c r="I206" s="11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2:28" ht="15" thickBot="1" x14ac:dyDescent="0.35">
      <c r="B207" s="18"/>
      <c r="C207" s="18"/>
      <c r="D207" s="18"/>
      <c r="E207" s="18"/>
      <c r="F207" s="18"/>
      <c r="G207" s="18"/>
      <c r="H207" s="18"/>
      <c r="I207" s="11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2:28" ht="15" thickBot="1" x14ac:dyDescent="0.35">
      <c r="B208" s="18"/>
      <c r="C208" s="18"/>
      <c r="D208" s="18"/>
      <c r="E208" s="18"/>
      <c r="F208" s="18"/>
      <c r="G208" s="18"/>
      <c r="H208" s="18"/>
      <c r="I208" s="11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2:28" ht="15" thickBot="1" x14ac:dyDescent="0.35">
      <c r="B209" s="18"/>
      <c r="C209" s="18"/>
      <c r="D209" s="18"/>
      <c r="E209" s="18"/>
      <c r="F209" s="18"/>
      <c r="G209" s="18"/>
      <c r="H209" s="18"/>
      <c r="I209" s="11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2:28" ht="15" thickBot="1" x14ac:dyDescent="0.35">
      <c r="B210" s="18"/>
      <c r="C210" s="18"/>
      <c r="D210" s="18"/>
      <c r="E210" s="18"/>
      <c r="F210" s="18"/>
      <c r="G210" s="18"/>
      <c r="H210" s="18"/>
      <c r="I210" s="11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2:28" ht="15" thickBot="1" x14ac:dyDescent="0.35">
      <c r="B211" s="18"/>
      <c r="C211" s="18"/>
      <c r="D211" s="18"/>
      <c r="E211" s="18"/>
      <c r="F211" s="18"/>
      <c r="G211" s="18"/>
      <c r="H211" s="18"/>
      <c r="I211" s="11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2:28" ht="15" thickBot="1" x14ac:dyDescent="0.35">
      <c r="B212" s="18"/>
      <c r="C212" s="18"/>
      <c r="D212" s="18"/>
      <c r="E212" s="18"/>
      <c r="F212" s="18"/>
      <c r="G212" s="18"/>
      <c r="H212" s="18"/>
      <c r="I212" s="11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2:28" ht="15" thickBot="1" x14ac:dyDescent="0.35">
      <c r="B213" s="18"/>
      <c r="C213" s="18"/>
      <c r="D213" s="18"/>
      <c r="E213" s="18"/>
      <c r="F213" s="18"/>
      <c r="G213" s="18"/>
      <c r="H213" s="18"/>
      <c r="I213" s="11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2:28" ht="15" thickBot="1" x14ac:dyDescent="0.35">
      <c r="B214" s="18"/>
      <c r="C214" s="18"/>
      <c r="D214" s="18"/>
      <c r="E214" s="18"/>
      <c r="F214" s="18"/>
      <c r="G214" s="18"/>
      <c r="H214" s="18"/>
      <c r="I214" s="11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2:28" ht="15" thickBot="1" x14ac:dyDescent="0.35">
      <c r="B215" s="18"/>
      <c r="C215" s="18"/>
      <c r="D215" s="18"/>
      <c r="E215" s="18"/>
      <c r="F215" s="18"/>
      <c r="G215" s="18"/>
      <c r="H215" s="18"/>
      <c r="I215" s="11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2:28" ht="15" thickBot="1" x14ac:dyDescent="0.35">
      <c r="B216" s="18"/>
      <c r="C216" s="18"/>
      <c r="D216" s="18"/>
      <c r="E216" s="18"/>
      <c r="F216" s="18"/>
      <c r="G216" s="18"/>
      <c r="H216" s="18"/>
      <c r="I216" s="11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2:28" ht="15" thickBot="1" x14ac:dyDescent="0.35">
      <c r="B217" s="18"/>
      <c r="C217" s="18"/>
      <c r="D217" s="18"/>
      <c r="E217" s="18"/>
      <c r="F217" s="18"/>
      <c r="G217" s="18"/>
      <c r="H217" s="18"/>
      <c r="I217" s="11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2:28" ht="15" thickBot="1" x14ac:dyDescent="0.35">
      <c r="B218" s="18"/>
      <c r="C218" s="18"/>
      <c r="D218" s="18"/>
      <c r="E218" s="18"/>
      <c r="F218" s="18"/>
      <c r="G218" s="18"/>
      <c r="H218" s="18"/>
      <c r="I218" s="11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2:28" ht="15" thickBot="1" x14ac:dyDescent="0.35">
      <c r="B219" s="18"/>
      <c r="C219" s="18"/>
      <c r="D219" s="18"/>
      <c r="E219" s="18"/>
      <c r="F219" s="18"/>
      <c r="G219" s="18"/>
      <c r="H219" s="18"/>
      <c r="I219" s="11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2:28" ht="15" thickBot="1" x14ac:dyDescent="0.35">
      <c r="B220" s="18"/>
      <c r="C220" s="18"/>
      <c r="D220" s="18"/>
      <c r="E220" s="18"/>
      <c r="F220" s="18"/>
      <c r="G220" s="18"/>
      <c r="H220" s="18"/>
      <c r="I220" s="11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2:28" ht="15" thickBot="1" x14ac:dyDescent="0.35">
      <c r="B221" s="18"/>
      <c r="C221" s="18"/>
      <c r="D221" s="18"/>
      <c r="E221" s="18"/>
      <c r="F221" s="18"/>
      <c r="G221" s="18"/>
      <c r="H221" s="18"/>
      <c r="I221" s="11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2:28" ht="15" thickBot="1" x14ac:dyDescent="0.35">
      <c r="B222" s="18"/>
      <c r="C222" s="18"/>
      <c r="D222" s="18"/>
      <c r="E222" s="18"/>
      <c r="F222" s="18"/>
      <c r="G222" s="18"/>
      <c r="H222" s="18"/>
      <c r="I222" s="11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2:28" ht="15" thickBot="1" x14ac:dyDescent="0.35">
      <c r="B223" s="18"/>
      <c r="C223" s="18"/>
      <c r="D223" s="18"/>
      <c r="E223" s="18"/>
      <c r="F223" s="18"/>
      <c r="G223" s="18"/>
      <c r="H223" s="18"/>
      <c r="I223" s="11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2:28" ht="15" thickBot="1" x14ac:dyDescent="0.35">
      <c r="B224" s="18"/>
      <c r="C224" s="18"/>
      <c r="D224" s="18"/>
      <c r="E224" s="18"/>
      <c r="F224" s="18"/>
      <c r="G224" s="18"/>
      <c r="H224" s="18"/>
      <c r="I224" s="11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2:28" ht="15" thickBot="1" x14ac:dyDescent="0.35">
      <c r="B225" s="18"/>
      <c r="C225" s="18"/>
      <c r="D225" s="18"/>
      <c r="E225" s="18"/>
      <c r="F225" s="18"/>
      <c r="G225" s="18"/>
      <c r="H225" s="18"/>
      <c r="I225" s="11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2:28" ht="15" thickBot="1" x14ac:dyDescent="0.35">
      <c r="B226" s="18"/>
      <c r="C226" s="18"/>
      <c r="D226" s="18"/>
      <c r="E226" s="18"/>
      <c r="F226" s="18"/>
      <c r="G226" s="18"/>
      <c r="H226" s="18"/>
      <c r="I226" s="11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2:28" ht="15" thickBot="1" x14ac:dyDescent="0.35">
      <c r="B227" s="18"/>
      <c r="C227" s="18"/>
      <c r="D227" s="18"/>
      <c r="E227" s="18"/>
      <c r="F227" s="18"/>
      <c r="G227" s="18"/>
      <c r="H227" s="18"/>
      <c r="I227" s="11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2:28" ht="15" thickBot="1" x14ac:dyDescent="0.35">
      <c r="B228" s="18"/>
      <c r="C228" s="18"/>
      <c r="D228" s="18"/>
      <c r="E228" s="18"/>
      <c r="F228" s="18"/>
      <c r="G228" s="18"/>
      <c r="H228" s="18"/>
      <c r="I228" s="11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2:28" ht="15" thickBot="1" x14ac:dyDescent="0.35">
      <c r="B229" s="18"/>
      <c r="C229" s="18"/>
      <c r="D229" s="18"/>
      <c r="E229" s="18"/>
      <c r="F229" s="18"/>
      <c r="G229" s="18"/>
      <c r="H229" s="18"/>
      <c r="I229" s="11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2:28" ht="15" thickBot="1" x14ac:dyDescent="0.35">
      <c r="B230" s="18"/>
      <c r="C230" s="18"/>
      <c r="D230" s="18"/>
      <c r="E230" s="18"/>
      <c r="F230" s="18"/>
      <c r="G230" s="18"/>
      <c r="H230" s="18"/>
      <c r="I230" s="11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2:28" ht="15" thickBot="1" x14ac:dyDescent="0.35">
      <c r="B231" s="18"/>
      <c r="C231" s="18"/>
      <c r="D231" s="18"/>
      <c r="E231" s="18"/>
      <c r="F231" s="18"/>
      <c r="G231" s="18"/>
      <c r="H231" s="18"/>
      <c r="I231" s="11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2:28" ht="15" thickBot="1" x14ac:dyDescent="0.35">
      <c r="B232" s="18"/>
      <c r="C232" s="18"/>
      <c r="D232" s="18"/>
      <c r="E232" s="18"/>
      <c r="F232" s="18"/>
      <c r="G232" s="18"/>
      <c r="H232" s="18"/>
      <c r="I232" s="11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2:28" ht="15" thickBot="1" x14ac:dyDescent="0.35">
      <c r="B233" s="18"/>
      <c r="C233" s="18"/>
      <c r="D233" s="18"/>
      <c r="E233" s="18"/>
      <c r="F233" s="18"/>
      <c r="G233" s="18"/>
      <c r="H233" s="18"/>
      <c r="I233" s="11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2:28" ht="15" thickBot="1" x14ac:dyDescent="0.35">
      <c r="B234" s="18"/>
      <c r="C234" s="18"/>
      <c r="D234" s="18"/>
      <c r="E234" s="18"/>
      <c r="F234" s="18"/>
      <c r="G234" s="18"/>
      <c r="H234" s="18"/>
      <c r="I234" s="11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2:28" ht="15" thickBot="1" x14ac:dyDescent="0.35">
      <c r="B235" s="18"/>
      <c r="C235" s="18"/>
      <c r="D235" s="18"/>
      <c r="E235" s="18"/>
      <c r="F235" s="18"/>
      <c r="G235" s="18"/>
      <c r="H235" s="18"/>
      <c r="I235" s="11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2:28" ht="15" thickBot="1" x14ac:dyDescent="0.35">
      <c r="B236" s="18"/>
      <c r="C236" s="18"/>
      <c r="D236" s="18"/>
      <c r="E236" s="18"/>
      <c r="F236" s="18"/>
      <c r="G236" s="18"/>
      <c r="H236" s="18"/>
      <c r="I236" s="11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2:28" ht="15" thickBot="1" x14ac:dyDescent="0.35">
      <c r="B237" s="18"/>
      <c r="C237" s="18"/>
      <c r="D237" s="18"/>
      <c r="E237" s="18"/>
      <c r="F237" s="18"/>
      <c r="G237" s="18"/>
      <c r="H237" s="18"/>
      <c r="I237" s="11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2:28" ht="15" thickBot="1" x14ac:dyDescent="0.35">
      <c r="B238" s="18"/>
      <c r="C238" s="18"/>
      <c r="D238" s="18"/>
      <c r="E238" s="18"/>
      <c r="F238" s="18"/>
      <c r="G238" s="18"/>
      <c r="H238" s="18"/>
      <c r="I238" s="11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2:28" ht="15" thickBot="1" x14ac:dyDescent="0.35">
      <c r="B239" s="18"/>
      <c r="C239" s="18"/>
      <c r="D239" s="18"/>
      <c r="E239" s="18"/>
      <c r="F239" s="18"/>
      <c r="G239" s="18"/>
      <c r="H239" s="18"/>
      <c r="I239" s="11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2:28" ht="15" thickBot="1" x14ac:dyDescent="0.35">
      <c r="B240" s="18"/>
      <c r="C240" s="18"/>
      <c r="D240" s="18"/>
      <c r="E240" s="18"/>
      <c r="F240" s="18"/>
      <c r="G240" s="18"/>
      <c r="H240" s="18"/>
      <c r="I240" s="11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2:28" ht="15" thickBot="1" x14ac:dyDescent="0.35">
      <c r="B241" s="18"/>
      <c r="C241" s="18"/>
      <c r="D241" s="18"/>
      <c r="E241" s="18"/>
      <c r="F241" s="18"/>
      <c r="G241" s="18"/>
      <c r="H241" s="18"/>
      <c r="I241" s="11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2:28" ht="15" thickBot="1" x14ac:dyDescent="0.35">
      <c r="B242" s="18"/>
      <c r="C242" s="18"/>
      <c r="D242" s="18"/>
      <c r="E242" s="18"/>
      <c r="F242" s="18"/>
      <c r="G242" s="18"/>
      <c r="H242" s="18"/>
      <c r="I242" s="11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2:28" ht="15" thickBot="1" x14ac:dyDescent="0.35">
      <c r="B243" s="18"/>
      <c r="C243" s="18"/>
      <c r="D243" s="18"/>
      <c r="E243" s="18"/>
      <c r="F243" s="18"/>
      <c r="G243" s="18"/>
      <c r="H243" s="18"/>
      <c r="I243" s="11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2:28" ht="15" thickBot="1" x14ac:dyDescent="0.35">
      <c r="B244" s="18"/>
      <c r="C244" s="18"/>
      <c r="D244" s="18"/>
      <c r="E244" s="18"/>
      <c r="F244" s="18"/>
      <c r="G244" s="18"/>
      <c r="H244" s="18"/>
      <c r="I244" s="11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2:28" ht="15" thickBot="1" x14ac:dyDescent="0.35">
      <c r="B245" s="18"/>
      <c r="C245" s="18"/>
      <c r="D245" s="18"/>
      <c r="E245" s="18"/>
      <c r="F245" s="18"/>
      <c r="G245" s="18"/>
      <c r="H245" s="18"/>
      <c r="I245" s="11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2:28" ht="15" thickBot="1" x14ac:dyDescent="0.35">
      <c r="B246" s="18"/>
      <c r="C246" s="18"/>
      <c r="D246" s="18"/>
      <c r="E246" s="18"/>
      <c r="F246" s="18"/>
      <c r="G246" s="18"/>
      <c r="H246" s="18"/>
      <c r="I246" s="11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2:28" ht="15" thickBot="1" x14ac:dyDescent="0.35">
      <c r="B247" s="18"/>
      <c r="C247" s="18"/>
      <c r="D247" s="18"/>
      <c r="E247" s="18"/>
      <c r="F247" s="18"/>
      <c r="G247" s="18"/>
      <c r="H247" s="18"/>
      <c r="I247" s="11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2:28" ht="15" thickBot="1" x14ac:dyDescent="0.35">
      <c r="B248" s="18"/>
      <c r="C248" s="18"/>
      <c r="D248" s="18"/>
      <c r="E248" s="18"/>
      <c r="F248" s="18"/>
      <c r="G248" s="18"/>
      <c r="H248" s="18"/>
      <c r="I248" s="11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2:28" ht="15" thickBot="1" x14ac:dyDescent="0.35">
      <c r="B249" s="18"/>
      <c r="C249" s="18"/>
      <c r="D249" s="18"/>
      <c r="E249" s="18"/>
      <c r="F249" s="18"/>
      <c r="G249" s="18"/>
      <c r="H249" s="18"/>
      <c r="I249" s="11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2:28" ht="15" thickBot="1" x14ac:dyDescent="0.35">
      <c r="B250" s="18"/>
      <c r="C250" s="18"/>
      <c r="D250" s="18"/>
      <c r="E250" s="18"/>
      <c r="F250" s="18"/>
      <c r="G250" s="18"/>
      <c r="H250" s="18"/>
      <c r="I250" s="11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2:28" ht="15" thickBot="1" x14ac:dyDescent="0.35">
      <c r="B251" s="18"/>
      <c r="C251" s="18"/>
      <c r="D251" s="18"/>
      <c r="E251" s="18"/>
      <c r="F251" s="18"/>
      <c r="G251" s="18"/>
      <c r="H251" s="18"/>
      <c r="I251" s="11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2:28" ht="15" thickBot="1" x14ac:dyDescent="0.35">
      <c r="B252" s="18"/>
      <c r="C252" s="18"/>
      <c r="D252" s="18"/>
      <c r="E252" s="18"/>
      <c r="F252" s="18"/>
      <c r="G252" s="18"/>
      <c r="H252" s="18"/>
      <c r="I252" s="11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2:28" ht="15" thickBot="1" x14ac:dyDescent="0.35">
      <c r="B253" s="18"/>
      <c r="C253" s="18"/>
      <c r="D253" s="18"/>
      <c r="E253" s="18"/>
      <c r="F253" s="18"/>
      <c r="G253" s="18"/>
      <c r="H253" s="18"/>
      <c r="I253" s="11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2:28" ht="15" thickBot="1" x14ac:dyDescent="0.35">
      <c r="B254" s="18"/>
      <c r="C254" s="18"/>
      <c r="D254" s="18"/>
      <c r="E254" s="18"/>
      <c r="F254" s="18"/>
      <c r="G254" s="18"/>
      <c r="H254" s="18"/>
      <c r="I254" s="11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2:28" ht="15" thickBot="1" x14ac:dyDescent="0.35">
      <c r="B255" s="18"/>
      <c r="C255" s="18"/>
      <c r="D255" s="18"/>
      <c r="E255" s="18"/>
      <c r="F255" s="18"/>
      <c r="G255" s="18"/>
      <c r="H255" s="18"/>
      <c r="I255" s="11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2:28" ht="15" thickBot="1" x14ac:dyDescent="0.35">
      <c r="B256" s="18"/>
      <c r="C256" s="18"/>
      <c r="D256" s="18"/>
      <c r="E256" s="18"/>
      <c r="F256" s="18"/>
      <c r="G256" s="18"/>
      <c r="H256" s="18"/>
      <c r="I256" s="11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2:28" ht="15" thickBot="1" x14ac:dyDescent="0.35">
      <c r="B257" s="18"/>
      <c r="C257" s="18"/>
      <c r="D257" s="18"/>
      <c r="E257" s="18"/>
      <c r="F257" s="18"/>
      <c r="G257" s="18"/>
      <c r="H257" s="18"/>
      <c r="I257" s="11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2:28" ht="15" thickBot="1" x14ac:dyDescent="0.35">
      <c r="B258" s="18"/>
      <c r="C258" s="18"/>
      <c r="D258" s="18"/>
      <c r="E258" s="18"/>
      <c r="F258" s="18"/>
      <c r="G258" s="18"/>
      <c r="H258" s="18"/>
      <c r="I258" s="11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2:28" ht="15" thickBot="1" x14ac:dyDescent="0.35">
      <c r="B259" s="18"/>
      <c r="C259" s="18"/>
      <c r="D259" s="18"/>
      <c r="E259" s="18"/>
      <c r="F259" s="18"/>
      <c r="G259" s="18"/>
      <c r="H259" s="18"/>
      <c r="I259" s="11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2:28" ht="15" thickBot="1" x14ac:dyDescent="0.35">
      <c r="B260" s="18"/>
      <c r="C260" s="18"/>
      <c r="D260" s="18"/>
      <c r="E260" s="18"/>
      <c r="F260" s="18"/>
      <c r="G260" s="18"/>
      <c r="H260" s="18"/>
      <c r="I260" s="11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2:28" ht="15" thickBot="1" x14ac:dyDescent="0.35">
      <c r="B261" s="18"/>
      <c r="C261" s="18"/>
      <c r="D261" s="18"/>
      <c r="E261" s="18"/>
      <c r="F261" s="18"/>
      <c r="G261" s="18"/>
      <c r="H261" s="18"/>
      <c r="I261" s="11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2:28" ht="15" thickBot="1" x14ac:dyDescent="0.35">
      <c r="B262" s="18"/>
      <c r="C262" s="18"/>
      <c r="D262" s="18"/>
      <c r="E262" s="18"/>
      <c r="F262" s="18"/>
      <c r="G262" s="18"/>
      <c r="H262" s="18"/>
      <c r="I262" s="11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2:28" ht="15" thickBot="1" x14ac:dyDescent="0.35">
      <c r="B263" s="18"/>
      <c r="C263" s="18"/>
      <c r="D263" s="18"/>
      <c r="E263" s="18"/>
      <c r="F263" s="18"/>
      <c r="G263" s="18"/>
      <c r="H263" s="18"/>
      <c r="I263" s="11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2:28" ht="15" thickBot="1" x14ac:dyDescent="0.35">
      <c r="B264" s="18"/>
      <c r="C264" s="18"/>
      <c r="D264" s="18"/>
      <c r="E264" s="18"/>
      <c r="F264" s="18"/>
      <c r="G264" s="18"/>
      <c r="H264" s="18"/>
      <c r="I264" s="11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2:28" ht="15" thickBot="1" x14ac:dyDescent="0.35">
      <c r="B265" s="18"/>
      <c r="C265" s="18"/>
      <c r="D265" s="18"/>
      <c r="E265" s="18"/>
      <c r="F265" s="18"/>
      <c r="G265" s="18"/>
      <c r="H265" s="18"/>
      <c r="I265" s="11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2:28" ht="15" thickBot="1" x14ac:dyDescent="0.35">
      <c r="B266" s="18"/>
      <c r="C266" s="18"/>
      <c r="D266" s="18"/>
      <c r="E266" s="18"/>
      <c r="F266" s="18"/>
      <c r="G266" s="18"/>
      <c r="H266" s="18"/>
      <c r="I266" s="11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2:28" ht="15" thickBot="1" x14ac:dyDescent="0.35">
      <c r="B267" s="18"/>
      <c r="C267" s="18"/>
      <c r="D267" s="18"/>
      <c r="E267" s="18"/>
      <c r="F267" s="18"/>
      <c r="G267" s="18"/>
      <c r="H267" s="18"/>
      <c r="I267" s="11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2:28" ht="15" thickBot="1" x14ac:dyDescent="0.35">
      <c r="B268" s="18"/>
      <c r="C268" s="18"/>
      <c r="D268" s="18"/>
      <c r="E268" s="18"/>
      <c r="F268" s="18"/>
      <c r="G268" s="18"/>
      <c r="H268" s="18"/>
      <c r="I268" s="11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2:28" ht="15" thickBot="1" x14ac:dyDescent="0.35">
      <c r="B269" s="18"/>
      <c r="C269" s="18"/>
      <c r="D269" s="18"/>
      <c r="E269" s="18"/>
      <c r="F269" s="18"/>
      <c r="G269" s="18"/>
      <c r="H269" s="18"/>
      <c r="I269" s="11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2:28" ht="15" thickBot="1" x14ac:dyDescent="0.35">
      <c r="B270" s="18"/>
      <c r="C270" s="18"/>
      <c r="D270" s="18"/>
      <c r="E270" s="18"/>
      <c r="F270" s="18"/>
      <c r="G270" s="18"/>
      <c r="H270" s="18"/>
      <c r="I270" s="11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2:28" ht="15" thickBot="1" x14ac:dyDescent="0.35">
      <c r="B271" s="18"/>
      <c r="C271" s="18"/>
      <c r="D271" s="18"/>
      <c r="E271" s="18"/>
      <c r="F271" s="18"/>
      <c r="G271" s="18"/>
      <c r="H271" s="18"/>
      <c r="I271" s="11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2:28" ht="15" thickBot="1" x14ac:dyDescent="0.35">
      <c r="B272" s="18"/>
      <c r="C272" s="18"/>
      <c r="D272" s="18"/>
      <c r="E272" s="18"/>
      <c r="F272" s="18"/>
      <c r="G272" s="18"/>
      <c r="H272" s="18"/>
      <c r="I272" s="11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2:28" ht="15" thickBot="1" x14ac:dyDescent="0.35">
      <c r="B273" s="18"/>
      <c r="C273" s="18"/>
      <c r="D273" s="18"/>
      <c r="E273" s="18"/>
      <c r="F273" s="18"/>
      <c r="G273" s="18"/>
      <c r="H273" s="18"/>
      <c r="I273" s="11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2:28" ht="15" thickBot="1" x14ac:dyDescent="0.35">
      <c r="B274" s="18"/>
      <c r="C274" s="18"/>
      <c r="D274" s="18"/>
      <c r="E274" s="18"/>
      <c r="F274" s="18"/>
      <c r="G274" s="18"/>
      <c r="H274" s="18"/>
      <c r="I274" s="11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2:28" ht="15" thickBot="1" x14ac:dyDescent="0.35">
      <c r="B275" s="18"/>
      <c r="C275" s="18"/>
      <c r="D275" s="18"/>
      <c r="E275" s="18"/>
      <c r="F275" s="18"/>
      <c r="G275" s="18"/>
      <c r="H275" s="18"/>
      <c r="I275" s="11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2:28" ht="15" thickBot="1" x14ac:dyDescent="0.35">
      <c r="B276" s="18"/>
      <c r="C276" s="18"/>
      <c r="D276" s="18"/>
      <c r="E276" s="18"/>
      <c r="F276" s="18"/>
      <c r="G276" s="18"/>
      <c r="H276" s="18"/>
      <c r="I276" s="11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2:28" ht="15" thickBot="1" x14ac:dyDescent="0.35">
      <c r="B277" s="18"/>
      <c r="C277" s="18"/>
      <c r="D277" s="18"/>
      <c r="E277" s="18"/>
      <c r="F277" s="18"/>
      <c r="G277" s="18"/>
      <c r="H277" s="18"/>
      <c r="I277" s="11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2:28" ht="15" thickBot="1" x14ac:dyDescent="0.35">
      <c r="B278" s="18"/>
      <c r="C278" s="18"/>
      <c r="D278" s="18"/>
      <c r="E278" s="18"/>
      <c r="F278" s="18"/>
      <c r="G278" s="18"/>
      <c r="H278" s="18"/>
      <c r="I278" s="11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2:28" ht="15" thickBot="1" x14ac:dyDescent="0.35">
      <c r="B279" s="18"/>
      <c r="C279" s="18"/>
      <c r="D279" s="18"/>
      <c r="E279" s="18"/>
      <c r="F279" s="18"/>
      <c r="G279" s="18"/>
      <c r="H279" s="18"/>
      <c r="I279" s="11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2:28" ht="15" thickBot="1" x14ac:dyDescent="0.35">
      <c r="B280" s="18"/>
      <c r="C280" s="18"/>
      <c r="D280" s="18"/>
      <c r="E280" s="18"/>
      <c r="F280" s="18"/>
      <c r="G280" s="18"/>
      <c r="H280" s="18"/>
      <c r="I280" s="11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2:28" ht="15" thickBot="1" x14ac:dyDescent="0.35">
      <c r="B281" s="18"/>
      <c r="C281" s="18"/>
      <c r="D281" s="18"/>
      <c r="E281" s="18"/>
      <c r="F281" s="18"/>
      <c r="G281" s="18"/>
      <c r="H281" s="18"/>
      <c r="I281" s="11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2:28" ht="15" thickBot="1" x14ac:dyDescent="0.35">
      <c r="B282" s="18"/>
      <c r="C282" s="18"/>
      <c r="D282" s="18"/>
      <c r="E282" s="18"/>
      <c r="F282" s="18"/>
      <c r="G282" s="18"/>
      <c r="H282" s="18"/>
      <c r="I282" s="11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2:28" ht="15" thickBot="1" x14ac:dyDescent="0.35">
      <c r="B283" s="18"/>
      <c r="C283" s="18"/>
      <c r="D283" s="18"/>
      <c r="E283" s="18"/>
      <c r="F283" s="18"/>
      <c r="G283" s="18"/>
      <c r="H283" s="18"/>
      <c r="I283" s="11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2:28" ht="15" thickBot="1" x14ac:dyDescent="0.35">
      <c r="B284" s="18"/>
      <c r="C284" s="18"/>
      <c r="D284" s="18"/>
      <c r="E284" s="18"/>
      <c r="F284" s="18"/>
      <c r="G284" s="18"/>
      <c r="H284" s="18"/>
      <c r="I284" s="11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2:28" ht="15" thickBot="1" x14ac:dyDescent="0.35">
      <c r="B285" s="18"/>
      <c r="C285" s="18"/>
      <c r="D285" s="18"/>
      <c r="E285" s="18"/>
      <c r="F285" s="18"/>
      <c r="G285" s="18"/>
      <c r="H285" s="18"/>
      <c r="I285" s="11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2:28" ht="15" thickBot="1" x14ac:dyDescent="0.35">
      <c r="B286" s="18"/>
      <c r="C286" s="18"/>
      <c r="D286" s="18"/>
      <c r="E286" s="18"/>
      <c r="F286" s="18"/>
      <c r="G286" s="18"/>
      <c r="H286" s="18"/>
      <c r="I286" s="11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2:28" ht="15" thickBot="1" x14ac:dyDescent="0.35">
      <c r="B287" s="18"/>
      <c r="C287" s="18"/>
      <c r="D287" s="18"/>
      <c r="E287" s="18"/>
      <c r="F287" s="18"/>
      <c r="G287" s="18"/>
      <c r="H287" s="18"/>
      <c r="I287" s="11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2:28" ht="15" thickBot="1" x14ac:dyDescent="0.35">
      <c r="B288" s="18"/>
      <c r="C288" s="18"/>
      <c r="D288" s="18"/>
      <c r="E288" s="18"/>
      <c r="F288" s="18"/>
      <c r="G288" s="18"/>
      <c r="H288" s="18"/>
      <c r="I288" s="11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2:28" ht="15" thickBot="1" x14ac:dyDescent="0.35">
      <c r="B289" s="18"/>
      <c r="C289" s="18"/>
      <c r="D289" s="18"/>
      <c r="E289" s="18"/>
      <c r="F289" s="18"/>
      <c r="G289" s="18"/>
      <c r="H289" s="18"/>
      <c r="I289" s="11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2:28" ht="15" thickBot="1" x14ac:dyDescent="0.35">
      <c r="B290" s="18"/>
      <c r="C290" s="18"/>
      <c r="D290" s="18"/>
      <c r="E290" s="18"/>
      <c r="F290" s="18"/>
      <c r="G290" s="18"/>
      <c r="H290" s="18"/>
      <c r="I290" s="11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2:28" ht="15" thickBot="1" x14ac:dyDescent="0.35">
      <c r="B291" s="18"/>
      <c r="C291" s="18"/>
      <c r="D291" s="18"/>
      <c r="E291" s="18"/>
      <c r="F291" s="18"/>
      <c r="G291" s="18"/>
      <c r="H291" s="18"/>
      <c r="I291" s="11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2:28" ht="15" thickBot="1" x14ac:dyDescent="0.35">
      <c r="B292" s="18"/>
      <c r="C292" s="18"/>
      <c r="D292" s="18"/>
      <c r="E292" s="18"/>
      <c r="F292" s="18"/>
      <c r="G292" s="18"/>
      <c r="H292" s="18"/>
      <c r="I292" s="11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2:28" ht="15" thickBot="1" x14ac:dyDescent="0.35">
      <c r="B293" s="18"/>
      <c r="C293" s="18"/>
      <c r="D293" s="18"/>
      <c r="E293" s="18"/>
      <c r="F293" s="18"/>
      <c r="G293" s="18"/>
      <c r="H293" s="18"/>
      <c r="I293" s="11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2:28" ht="15" thickBot="1" x14ac:dyDescent="0.35">
      <c r="B294" s="18"/>
      <c r="C294" s="18"/>
      <c r="D294" s="18"/>
      <c r="E294" s="18"/>
      <c r="F294" s="18"/>
      <c r="G294" s="18"/>
      <c r="H294" s="18"/>
      <c r="I294" s="11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2:28" ht="15" thickBot="1" x14ac:dyDescent="0.35">
      <c r="B295" s="18"/>
      <c r="C295" s="18"/>
      <c r="D295" s="18"/>
      <c r="E295" s="18"/>
      <c r="F295" s="18"/>
      <c r="G295" s="18"/>
      <c r="H295" s="18"/>
      <c r="I295" s="11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2:28" ht="15" thickBot="1" x14ac:dyDescent="0.35">
      <c r="B296" s="18"/>
      <c r="C296" s="18"/>
      <c r="D296" s="18"/>
      <c r="E296" s="18"/>
      <c r="F296" s="18"/>
      <c r="G296" s="18"/>
      <c r="H296" s="18"/>
      <c r="I296" s="11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2:28" ht="15" thickBot="1" x14ac:dyDescent="0.35">
      <c r="B297" s="18"/>
      <c r="C297" s="18"/>
      <c r="D297" s="18"/>
      <c r="E297" s="18"/>
      <c r="F297" s="18"/>
      <c r="G297" s="18"/>
      <c r="H297" s="18"/>
      <c r="I297" s="11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2:28" ht="15" thickBot="1" x14ac:dyDescent="0.35">
      <c r="B298" s="18"/>
      <c r="C298" s="18"/>
      <c r="D298" s="18"/>
      <c r="E298" s="18"/>
      <c r="F298" s="18"/>
      <c r="G298" s="18"/>
      <c r="H298" s="18"/>
      <c r="I298" s="11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2:28" ht="15" thickBot="1" x14ac:dyDescent="0.35">
      <c r="B299" s="18"/>
      <c r="C299" s="18"/>
      <c r="D299" s="18"/>
      <c r="E299" s="18"/>
      <c r="F299" s="18"/>
      <c r="G299" s="18"/>
      <c r="H299" s="18"/>
      <c r="I299" s="11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2:28" ht="15" thickBot="1" x14ac:dyDescent="0.35">
      <c r="B300" s="18"/>
      <c r="C300" s="18"/>
      <c r="D300" s="18"/>
      <c r="E300" s="18"/>
      <c r="F300" s="18"/>
      <c r="G300" s="18"/>
      <c r="H300" s="18"/>
      <c r="I300" s="11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2:28" ht="15" thickBot="1" x14ac:dyDescent="0.35">
      <c r="B301" s="18"/>
      <c r="C301" s="18"/>
      <c r="D301" s="18"/>
      <c r="E301" s="18"/>
      <c r="F301" s="18"/>
      <c r="G301" s="18"/>
      <c r="H301" s="18"/>
      <c r="I301" s="11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2:28" ht="15" thickBot="1" x14ac:dyDescent="0.35">
      <c r="B302" s="18"/>
      <c r="C302" s="18"/>
      <c r="D302" s="18"/>
      <c r="E302" s="18"/>
      <c r="F302" s="18"/>
      <c r="G302" s="18"/>
      <c r="H302" s="18"/>
      <c r="I302" s="11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2:28" ht="15" thickBot="1" x14ac:dyDescent="0.35">
      <c r="B303" s="18"/>
      <c r="C303" s="18"/>
      <c r="D303" s="18"/>
      <c r="E303" s="18"/>
      <c r="F303" s="18"/>
      <c r="G303" s="18"/>
      <c r="H303" s="18"/>
      <c r="I303" s="11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2:28" ht="15" thickBot="1" x14ac:dyDescent="0.35">
      <c r="B304" s="18"/>
      <c r="C304" s="18"/>
      <c r="D304" s="18"/>
      <c r="E304" s="18"/>
      <c r="F304" s="18"/>
      <c r="G304" s="18"/>
      <c r="H304" s="18"/>
      <c r="I304" s="11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" thickBot="1" x14ac:dyDescent="0.35">
      <c r="B305" s="18"/>
      <c r="C305" s="18"/>
      <c r="D305" s="18"/>
      <c r="E305" s="18"/>
      <c r="F305" s="18"/>
      <c r="G305" s="18"/>
      <c r="H305" s="18"/>
      <c r="I305" s="11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" thickBot="1" x14ac:dyDescent="0.35">
      <c r="B306" s="18"/>
      <c r="C306" s="18"/>
      <c r="D306" s="18"/>
      <c r="E306" s="18"/>
      <c r="F306" s="18"/>
      <c r="G306" s="18"/>
      <c r="H306" s="18"/>
      <c r="I306" s="11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" thickBot="1" x14ac:dyDescent="0.35">
      <c r="B307" s="18"/>
      <c r="C307" s="18"/>
      <c r="D307" s="18"/>
      <c r="E307" s="18"/>
      <c r="F307" s="18"/>
      <c r="G307" s="18"/>
      <c r="H307" s="18"/>
      <c r="I307" s="11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" thickBot="1" x14ac:dyDescent="0.35">
      <c r="B308" s="18"/>
      <c r="C308" s="18"/>
      <c r="D308" s="18"/>
      <c r="E308" s="18"/>
      <c r="F308" s="18"/>
      <c r="G308" s="18"/>
      <c r="H308" s="18"/>
      <c r="I308" s="11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" thickBot="1" x14ac:dyDescent="0.35">
      <c r="B309" s="18"/>
      <c r="C309" s="18"/>
      <c r="D309" s="18"/>
      <c r="E309" s="18"/>
      <c r="F309" s="18"/>
      <c r="G309" s="18"/>
      <c r="H309" s="18"/>
      <c r="I309" s="11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" thickBot="1" x14ac:dyDescent="0.35">
      <c r="B310" s="18"/>
      <c r="C310" s="18"/>
      <c r="D310" s="18"/>
      <c r="E310" s="18"/>
      <c r="F310" s="18"/>
      <c r="G310" s="18"/>
      <c r="H310" s="18"/>
      <c r="I310" s="11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" thickBot="1" x14ac:dyDescent="0.35">
      <c r="B311" s="18"/>
      <c r="C311" s="18"/>
      <c r="D311" s="18"/>
      <c r="E311" s="18"/>
      <c r="F311" s="18"/>
      <c r="G311" s="18"/>
      <c r="H311" s="18"/>
      <c r="I311" s="11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" thickBot="1" x14ac:dyDescent="0.35">
      <c r="B312" s="18"/>
      <c r="C312" s="18"/>
      <c r="D312" s="18"/>
      <c r="E312" s="18"/>
      <c r="F312" s="18"/>
      <c r="G312" s="18"/>
      <c r="H312" s="18"/>
      <c r="I312" s="11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" thickBot="1" x14ac:dyDescent="0.35">
      <c r="B313" s="18"/>
      <c r="C313" s="18"/>
      <c r="D313" s="18"/>
      <c r="E313" s="18"/>
      <c r="F313" s="18"/>
      <c r="G313" s="18"/>
      <c r="H313" s="18"/>
      <c r="I313" s="11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" thickBot="1" x14ac:dyDescent="0.35">
      <c r="B314" s="18"/>
      <c r="C314" s="18"/>
      <c r="D314" s="18"/>
      <c r="E314" s="18"/>
      <c r="F314" s="18"/>
      <c r="G314" s="18"/>
      <c r="H314" s="18"/>
      <c r="I314" s="11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" thickBot="1" x14ac:dyDescent="0.35">
      <c r="B315" s="18"/>
      <c r="C315" s="18"/>
      <c r="D315" s="18"/>
      <c r="E315" s="18"/>
      <c r="F315" s="18"/>
      <c r="G315" s="18"/>
      <c r="H315" s="18"/>
      <c r="I315" s="11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" thickBot="1" x14ac:dyDescent="0.35">
      <c r="B316" s="18"/>
      <c r="C316" s="18"/>
      <c r="D316" s="18"/>
      <c r="E316" s="18"/>
      <c r="F316" s="18"/>
      <c r="G316" s="18"/>
      <c r="H316" s="18"/>
      <c r="I316" s="11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" thickBot="1" x14ac:dyDescent="0.35">
      <c r="B317" s="18"/>
      <c r="C317" s="18"/>
      <c r="D317" s="18"/>
      <c r="E317" s="18"/>
      <c r="F317" s="18"/>
      <c r="G317" s="18"/>
      <c r="H317" s="18"/>
      <c r="I317" s="11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" thickBot="1" x14ac:dyDescent="0.35">
      <c r="B318" s="18"/>
      <c r="C318" s="18"/>
      <c r="D318" s="18"/>
      <c r="E318" s="18"/>
      <c r="F318" s="18"/>
      <c r="G318" s="18"/>
      <c r="H318" s="18"/>
      <c r="I318" s="11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" thickBot="1" x14ac:dyDescent="0.35">
      <c r="B319" s="18"/>
      <c r="C319" s="18"/>
      <c r="D319" s="18"/>
      <c r="E319" s="18"/>
      <c r="F319" s="18"/>
      <c r="G319" s="18"/>
      <c r="H319" s="18"/>
      <c r="I319" s="11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" thickBot="1" x14ac:dyDescent="0.35">
      <c r="B320" s="18"/>
      <c r="C320" s="18"/>
      <c r="D320" s="18"/>
      <c r="E320" s="18"/>
      <c r="F320" s="18"/>
      <c r="G320" s="18"/>
      <c r="H320" s="18"/>
      <c r="I320" s="11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" thickBot="1" x14ac:dyDescent="0.35">
      <c r="B321" s="18"/>
      <c r="C321" s="18"/>
      <c r="D321" s="18"/>
      <c r="E321" s="18"/>
      <c r="F321" s="18"/>
      <c r="G321" s="18"/>
      <c r="H321" s="18"/>
      <c r="I321" s="11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" thickBot="1" x14ac:dyDescent="0.35">
      <c r="B322" s="18"/>
      <c r="C322" s="18"/>
      <c r="D322" s="18"/>
      <c r="E322" s="18"/>
      <c r="F322" s="18"/>
      <c r="G322" s="18"/>
      <c r="H322" s="18"/>
      <c r="I322" s="11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" thickBot="1" x14ac:dyDescent="0.35">
      <c r="B323" s="18"/>
      <c r="C323" s="18"/>
      <c r="D323" s="18"/>
      <c r="E323" s="18"/>
      <c r="F323" s="18"/>
      <c r="G323" s="18"/>
      <c r="H323" s="18"/>
      <c r="I323" s="11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" thickBot="1" x14ac:dyDescent="0.35">
      <c r="B324" s="18"/>
      <c r="C324" s="18"/>
      <c r="D324" s="18"/>
      <c r="E324" s="18"/>
      <c r="F324" s="18"/>
      <c r="G324" s="18"/>
      <c r="H324" s="18"/>
      <c r="I324" s="11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" thickBot="1" x14ac:dyDescent="0.35">
      <c r="B325" s="18"/>
      <c r="C325" s="18"/>
      <c r="D325" s="18"/>
      <c r="E325" s="18"/>
      <c r="F325" s="18"/>
      <c r="G325" s="18"/>
      <c r="H325" s="18"/>
      <c r="I325" s="11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" thickBot="1" x14ac:dyDescent="0.35">
      <c r="B326" s="18"/>
      <c r="C326" s="18"/>
      <c r="D326" s="18"/>
      <c r="E326" s="18"/>
      <c r="F326" s="18"/>
      <c r="G326" s="18"/>
      <c r="H326" s="18"/>
      <c r="I326" s="11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" thickBot="1" x14ac:dyDescent="0.35">
      <c r="B327" s="18"/>
      <c r="C327" s="18"/>
      <c r="D327" s="18"/>
      <c r="E327" s="18"/>
      <c r="F327" s="18"/>
      <c r="G327" s="18"/>
      <c r="H327" s="18"/>
      <c r="I327" s="11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" thickBot="1" x14ac:dyDescent="0.35">
      <c r="B328" s="18"/>
      <c r="C328" s="18"/>
      <c r="D328" s="18"/>
      <c r="E328" s="18"/>
      <c r="F328" s="18"/>
      <c r="G328" s="18"/>
      <c r="H328" s="18"/>
      <c r="I328" s="11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" thickBot="1" x14ac:dyDescent="0.35">
      <c r="B329" s="18"/>
      <c r="C329" s="18"/>
      <c r="D329" s="18"/>
      <c r="E329" s="18"/>
      <c r="F329" s="18"/>
      <c r="G329" s="18"/>
      <c r="H329" s="18"/>
      <c r="I329" s="11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" thickBot="1" x14ac:dyDescent="0.35">
      <c r="B330" s="18"/>
      <c r="C330" s="18"/>
      <c r="D330" s="18"/>
      <c r="E330" s="18"/>
      <c r="F330" s="18"/>
      <c r="G330" s="18"/>
      <c r="H330" s="18"/>
      <c r="I330" s="11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" thickBot="1" x14ac:dyDescent="0.35">
      <c r="B331" s="18"/>
      <c r="C331" s="18"/>
      <c r="D331" s="18"/>
      <c r="E331" s="18"/>
      <c r="F331" s="18"/>
      <c r="G331" s="18"/>
      <c r="H331" s="18"/>
      <c r="I331" s="11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" thickBot="1" x14ac:dyDescent="0.35">
      <c r="B332" s="18"/>
      <c r="C332" s="18"/>
      <c r="D332" s="18"/>
      <c r="E332" s="18"/>
      <c r="F332" s="18"/>
      <c r="G332" s="18"/>
      <c r="H332" s="18"/>
      <c r="I332" s="11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" thickBot="1" x14ac:dyDescent="0.35">
      <c r="B333" s="18"/>
      <c r="C333" s="18"/>
      <c r="D333" s="18"/>
      <c r="E333" s="18"/>
      <c r="F333" s="18"/>
      <c r="G333" s="18"/>
      <c r="H333" s="18"/>
      <c r="I333" s="11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" thickBot="1" x14ac:dyDescent="0.35">
      <c r="B334" s="18"/>
      <c r="C334" s="18"/>
      <c r="D334" s="18"/>
      <c r="E334" s="18"/>
      <c r="F334" s="18"/>
      <c r="G334" s="18"/>
      <c r="H334" s="18"/>
      <c r="I334" s="11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" thickBot="1" x14ac:dyDescent="0.35">
      <c r="B335" s="18"/>
      <c r="C335" s="18"/>
      <c r="D335" s="18"/>
      <c r="E335" s="18"/>
      <c r="F335" s="18"/>
      <c r="G335" s="18"/>
      <c r="H335" s="18"/>
      <c r="I335" s="11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" thickBot="1" x14ac:dyDescent="0.35">
      <c r="B336" s="18"/>
      <c r="C336" s="18"/>
      <c r="D336" s="18"/>
      <c r="E336" s="18"/>
      <c r="F336" s="18"/>
      <c r="G336" s="18"/>
      <c r="H336" s="18"/>
      <c r="I336" s="11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" thickBot="1" x14ac:dyDescent="0.35">
      <c r="B337" s="18"/>
      <c r="C337" s="18"/>
      <c r="D337" s="18"/>
      <c r="E337" s="18"/>
      <c r="F337" s="18"/>
      <c r="G337" s="18"/>
      <c r="H337" s="18"/>
      <c r="I337" s="11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" thickBot="1" x14ac:dyDescent="0.35">
      <c r="B338" s="18"/>
      <c r="C338" s="18"/>
      <c r="D338" s="18"/>
      <c r="E338" s="18"/>
      <c r="F338" s="18"/>
      <c r="G338" s="18"/>
      <c r="H338" s="18"/>
      <c r="I338" s="11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" thickBot="1" x14ac:dyDescent="0.35">
      <c r="B339" s="18"/>
      <c r="C339" s="18"/>
      <c r="D339" s="18"/>
      <c r="E339" s="18"/>
      <c r="F339" s="18"/>
      <c r="G339" s="18"/>
      <c r="H339" s="18"/>
      <c r="I339" s="11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" thickBot="1" x14ac:dyDescent="0.35">
      <c r="B340" s="18"/>
      <c r="C340" s="18"/>
      <c r="D340" s="18"/>
      <c r="E340" s="18"/>
      <c r="F340" s="18"/>
      <c r="G340" s="18"/>
      <c r="H340" s="18"/>
      <c r="I340" s="11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" thickBot="1" x14ac:dyDescent="0.35">
      <c r="B341" s="18"/>
      <c r="C341" s="18"/>
      <c r="D341" s="18"/>
      <c r="E341" s="18"/>
      <c r="F341" s="18"/>
      <c r="G341" s="18"/>
      <c r="H341" s="18"/>
      <c r="I341" s="11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" thickBot="1" x14ac:dyDescent="0.35">
      <c r="B342" s="18"/>
      <c r="C342" s="18"/>
      <c r="D342" s="18"/>
      <c r="E342" s="18"/>
      <c r="F342" s="18"/>
      <c r="G342" s="18"/>
      <c r="H342" s="18"/>
      <c r="I342" s="11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" thickBot="1" x14ac:dyDescent="0.35">
      <c r="B343" s="18"/>
      <c r="C343" s="18"/>
      <c r="D343" s="18"/>
      <c r="E343" s="18"/>
      <c r="F343" s="18"/>
      <c r="G343" s="18"/>
      <c r="H343" s="18"/>
      <c r="I343" s="11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" thickBot="1" x14ac:dyDescent="0.35">
      <c r="B344" s="18"/>
      <c r="C344" s="18"/>
      <c r="D344" s="18"/>
      <c r="E344" s="18"/>
      <c r="F344" s="18"/>
      <c r="G344" s="18"/>
      <c r="H344" s="18"/>
      <c r="I344" s="11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" thickBot="1" x14ac:dyDescent="0.35">
      <c r="B345" s="18"/>
      <c r="C345" s="18"/>
      <c r="D345" s="18"/>
      <c r="E345" s="18"/>
      <c r="F345" s="18"/>
      <c r="G345" s="18"/>
      <c r="H345" s="18"/>
      <c r="I345" s="11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" thickBot="1" x14ac:dyDescent="0.35">
      <c r="B346" s="18"/>
      <c r="C346" s="18"/>
      <c r="D346" s="18"/>
      <c r="E346" s="18"/>
      <c r="F346" s="18"/>
      <c r="G346" s="18"/>
      <c r="H346" s="18"/>
      <c r="I346" s="11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" thickBot="1" x14ac:dyDescent="0.35">
      <c r="B347" s="18"/>
      <c r="C347" s="18"/>
      <c r="D347" s="18"/>
      <c r="E347" s="18"/>
      <c r="F347" s="18"/>
      <c r="G347" s="18"/>
      <c r="H347" s="18"/>
      <c r="I347" s="11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" thickBot="1" x14ac:dyDescent="0.35">
      <c r="B348" s="18"/>
      <c r="C348" s="18"/>
      <c r="D348" s="18"/>
      <c r="E348" s="18"/>
      <c r="F348" s="18"/>
      <c r="G348" s="18"/>
      <c r="H348" s="18"/>
      <c r="I348" s="11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" thickBot="1" x14ac:dyDescent="0.35">
      <c r="B349" s="18"/>
      <c r="C349" s="18"/>
      <c r="D349" s="18"/>
      <c r="E349" s="18"/>
      <c r="F349" s="18"/>
      <c r="G349" s="18"/>
      <c r="H349" s="18"/>
      <c r="I349" s="11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" thickBot="1" x14ac:dyDescent="0.35">
      <c r="B350" s="18"/>
      <c r="C350" s="18"/>
      <c r="D350" s="18"/>
      <c r="E350" s="18"/>
      <c r="F350" s="18"/>
      <c r="G350" s="18"/>
      <c r="H350" s="18"/>
      <c r="I350" s="11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" thickBot="1" x14ac:dyDescent="0.35">
      <c r="B351" s="18"/>
      <c r="C351" s="18"/>
      <c r="D351" s="18"/>
      <c r="E351" s="18"/>
      <c r="F351" s="18"/>
      <c r="G351" s="18"/>
      <c r="H351" s="18"/>
      <c r="I351" s="11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" thickBot="1" x14ac:dyDescent="0.35">
      <c r="B352" s="18"/>
      <c r="C352" s="18"/>
      <c r="D352" s="18"/>
      <c r="E352" s="18"/>
      <c r="F352" s="18"/>
      <c r="G352" s="18"/>
      <c r="H352" s="18"/>
      <c r="I352" s="11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" thickBot="1" x14ac:dyDescent="0.35">
      <c r="B353" s="18"/>
      <c r="C353" s="18"/>
      <c r="D353" s="18"/>
      <c r="E353" s="18"/>
      <c r="F353" s="18"/>
      <c r="G353" s="18"/>
      <c r="H353" s="18"/>
      <c r="I353" s="11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" thickBot="1" x14ac:dyDescent="0.35">
      <c r="B354" s="18"/>
      <c r="C354" s="18"/>
      <c r="D354" s="18"/>
      <c r="E354" s="18"/>
      <c r="F354" s="18"/>
      <c r="G354" s="18"/>
      <c r="H354" s="18"/>
      <c r="I354" s="11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" thickBot="1" x14ac:dyDescent="0.35">
      <c r="B355" s="18"/>
      <c r="C355" s="18"/>
      <c r="D355" s="18"/>
      <c r="E355" s="18"/>
      <c r="F355" s="18"/>
      <c r="G355" s="18"/>
      <c r="H355" s="18"/>
      <c r="I355" s="11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" thickBot="1" x14ac:dyDescent="0.35">
      <c r="B356" s="18"/>
      <c r="C356" s="18"/>
      <c r="D356" s="18"/>
      <c r="E356" s="18"/>
      <c r="F356" s="18"/>
      <c r="G356" s="18"/>
      <c r="H356" s="18"/>
      <c r="I356" s="11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" thickBot="1" x14ac:dyDescent="0.35">
      <c r="B357" s="18"/>
      <c r="C357" s="18"/>
      <c r="D357" s="18"/>
      <c r="E357" s="18"/>
      <c r="F357" s="18"/>
      <c r="G357" s="18"/>
      <c r="H357" s="18"/>
      <c r="I357" s="11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" thickBot="1" x14ac:dyDescent="0.35">
      <c r="B358" s="18"/>
      <c r="C358" s="18"/>
      <c r="D358" s="18"/>
      <c r="E358" s="18"/>
      <c r="F358" s="18"/>
      <c r="G358" s="18"/>
      <c r="H358" s="18"/>
      <c r="I358" s="11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" thickBot="1" x14ac:dyDescent="0.35">
      <c r="B359" s="18"/>
      <c r="C359" s="18"/>
      <c r="D359" s="18"/>
      <c r="E359" s="18"/>
      <c r="F359" s="18"/>
      <c r="G359" s="18"/>
      <c r="H359" s="18"/>
      <c r="I359" s="11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" thickBot="1" x14ac:dyDescent="0.35">
      <c r="B360" s="18"/>
      <c r="C360" s="18"/>
      <c r="D360" s="18"/>
      <c r="E360" s="18"/>
      <c r="F360" s="18"/>
      <c r="G360" s="18"/>
      <c r="H360" s="18"/>
      <c r="I360" s="11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" thickBot="1" x14ac:dyDescent="0.35">
      <c r="B361" s="18"/>
      <c r="C361" s="18"/>
      <c r="D361" s="18"/>
      <c r="E361" s="18"/>
      <c r="F361" s="18"/>
      <c r="G361" s="18"/>
      <c r="H361" s="18"/>
      <c r="I361" s="11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" thickBot="1" x14ac:dyDescent="0.35">
      <c r="B362" s="18"/>
      <c r="C362" s="18"/>
      <c r="D362" s="18"/>
      <c r="E362" s="18"/>
      <c r="F362" s="18"/>
      <c r="G362" s="18"/>
      <c r="H362" s="18"/>
      <c r="I362" s="11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" thickBot="1" x14ac:dyDescent="0.35">
      <c r="B363" s="18"/>
      <c r="C363" s="18"/>
      <c r="D363" s="18"/>
      <c r="E363" s="18"/>
      <c r="F363" s="18"/>
      <c r="G363" s="18"/>
      <c r="H363" s="18"/>
      <c r="I363" s="11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" thickBot="1" x14ac:dyDescent="0.35">
      <c r="B364" s="18"/>
      <c r="C364" s="18"/>
      <c r="D364" s="18"/>
      <c r="E364" s="18"/>
      <c r="F364" s="18"/>
      <c r="G364" s="18"/>
      <c r="H364" s="18"/>
      <c r="I364" s="11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" thickBot="1" x14ac:dyDescent="0.35">
      <c r="B365" s="18"/>
      <c r="C365" s="18"/>
      <c r="D365" s="18"/>
      <c r="E365" s="18"/>
      <c r="F365" s="18"/>
      <c r="G365" s="18"/>
      <c r="H365" s="18"/>
      <c r="I365" s="11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" thickBot="1" x14ac:dyDescent="0.35">
      <c r="B366" s="18"/>
      <c r="C366" s="18"/>
      <c r="D366" s="18"/>
      <c r="E366" s="18"/>
      <c r="F366" s="18"/>
      <c r="G366" s="18"/>
      <c r="H366" s="18"/>
      <c r="I366" s="11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" thickBot="1" x14ac:dyDescent="0.35">
      <c r="B367" s="18"/>
      <c r="C367" s="18"/>
      <c r="D367" s="18"/>
      <c r="E367" s="18"/>
      <c r="F367" s="18"/>
      <c r="G367" s="18"/>
      <c r="H367" s="18"/>
      <c r="I367" s="11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" thickBot="1" x14ac:dyDescent="0.35">
      <c r="B368" s="18"/>
      <c r="C368" s="18"/>
      <c r="D368" s="18"/>
      <c r="E368" s="18"/>
      <c r="F368" s="18"/>
      <c r="G368" s="18"/>
      <c r="H368" s="18"/>
      <c r="I368" s="11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" thickBot="1" x14ac:dyDescent="0.35">
      <c r="B369" s="18"/>
      <c r="C369" s="18"/>
      <c r="D369" s="18"/>
      <c r="E369" s="18"/>
      <c r="F369" s="18"/>
      <c r="G369" s="18"/>
      <c r="H369" s="18"/>
      <c r="I369" s="11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" thickBot="1" x14ac:dyDescent="0.35">
      <c r="B370" s="18"/>
      <c r="C370" s="18"/>
      <c r="D370" s="18"/>
      <c r="E370" s="18"/>
      <c r="F370" s="18"/>
      <c r="G370" s="18"/>
      <c r="H370" s="18"/>
      <c r="I370" s="11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" thickBot="1" x14ac:dyDescent="0.35">
      <c r="B371" s="18"/>
      <c r="C371" s="18"/>
      <c r="D371" s="18"/>
      <c r="E371" s="18"/>
      <c r="F371" s="18"/>
      <c r="G371" s="18"/>
      <c r="H371" s="18"/>
      <c r="I371" s="11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" thickBot="1" x14ac:dyDescent="0.35">
      <c r="B372" s="18"/>
      <c r="C372" s="18"/>
      <c r="D372" s="18"/>
      <c r="E372" s="18"/>
      <c r="F372" s="18"/>
      <c r="G372" s="18"/>
      <c r="H372" s="18"/>
      <c r="I372" s="11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" thickBot="1" x14ac:dyDescent="0.35">
      <c r="B373" s="18"/>
      <c r="C373" s="18"/>
      <c r="D373" s="18"/>
      <c r="E373" s="18"/>
      <c r="F373" s="18"/>
      <c r="G373" s="18"/>
      <c r="H373" s="18"/>
      <c r="I373" s="11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" thickBot="1" x14ac:dyDescent="0.35">
      <c r="B374" s="18"/>
      <c r="C374" s="18"/>
      <c r="D374" s="18"/>
      <c r="E374" s="18"/>
      <c r="F374" s="18"/>
      <c r="G374" s="18"/>
      <c r="H374" s="18"/>
      <c r="I374" s="11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" thickBot="1" x14ac:dyDescent="0.35">
      <c r="B375" s="18"/>
      <c r="C375" s="18"/>
      <c r="D375" s="18"/>
      <c r="E375" s="18"/>
      <c r="F375" s="18"/>
      <c r="G375" s="18"/>
      <c r="H375" s="18"/>
      <c r="I375" s="11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" thickBot="1" x14ac:dyDescent="0.35">
      <c r="B376" s="18"/>
      <c r="C376" s="18"/>
      <c r="D376" s="18"/>
      <c r="E376" s="18"/>
      <c r="F376" s="18"/>
      <c r="G376" s="18"/>
      <c r="H376" s="18"/>
      <c r="I376" s="11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" thickBot="1" x14ac:dyDescent="0.35">
      <c r="B377" s="18"/>
      <c r="C377" s="18"/>
      <c r="D377" s="18"/>
      <c r="E377" s="18"/>
      <c r="F377" s="18"/>
      <c r="G377" s="18"/>
      <c r="H377" s="18"/>
      <c r="I377" s="11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" thickBot="1" x14ac:dyDescent="0.35">
      <c r="B378" s="18"/>
      <c r="C378" s="18"/>
      <c r="D378" s="18"/>
      <c r="E378" s="18"/>
      <c r="F378" s="18"/>
      <c r="G378" s="18"/>
      <c r="H378" s="18"/>
      <c r="I378" s="11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" thickBot="1" x14ac:dyDescent="0.35">
      <c r="B379" s="18"/>
      <c r="C379" s="18"/>
      <c r="D379" s="18"/>
      <c r="E379" s="18"/>
      <c r="F379" s="18"/>
      <c r="G379" s="18"/>
      <c r="H379" s="18"/>
      <c r="I379" s="11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" thickBot="1" x14ac:dyDescent="0.35">
      <c r="B380" s="18"/>
      <c r="C380" s="18"/>
      <c r="D380" s="18"/>
      <c r="E380" s="18"/>
      <c r="F380" s="18"/>
      <c r="G380" s="18"/>
      <c r="H380" s="18"/>
      <c r="I380" s="11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" thickBot="1" x14ac:dyDescent="0.35">
      <c r="B381" s="18"/>
      <c r="C381" s="18"/>
      <c r="D381" s="18"/>
      <c r="E381" s="18"/>
      <c r="F381" s="18"/>
      <c r="G381" s="18"/>
      <c r="H381" s="18"/>
      <c r="I381" s="11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" thickBot="1" x14ac:dyDescent="0.35">
      <c r="B382" s="18"/>
      <c r="C382" s="18"/>
      <c r="D382" s="18"/>
      <c r="E382" s="18"/>
      <c r="F382" s="18"/>
      <c r="G382" s="18"/>
      <c r="H382" s="18"/>
      <c r="I382" s="11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" thickBot="1" x14ac:dyDescent="0.35">
      <c r="B383" s="18"/>
      <c r="C383" s="18"/>
      <c r="D383" s="18"/>
      <c r="E383" s="18"/>
      <c r="F383" s="18"/>
      <c r="G383" s="18"/>
      <c r="H383" s="18"/>
      <c r="I383" s="11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" thickBot="1" x14ac:dyDescent="0.35">
      <c r="B384" s="18"/>
      <c r="C384" s="18"/>
      <c r="D384" s="18"/>
      <c r="E384" s="18"/>
      <c r="F384" s="18"/>
      <c r="G384" s="18"/>
      <c r="H384" s="18"/>
      <c r="I384" s="11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" thickBot="1" x14ac:dyDescent="0.35">
      <c r="B385" s="18"/>
      <c r="C385" s="18"/>
      <c r="D385" s="18"/>
      <c r="E385" s="18"/>
      <c r="F385" s="18"/>
      <c r="G385" s="18"/>
      <c r="H385" s="18"/>
      <c r="I385" s="11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" thickBot="1" x14ac:dyDescent="0.35">
      <c r="B386" s="18"/>
      <c r="C386" s="18"/>
      <c r="D386" s="18"/>
      <c r="E386" s="18"/>
      <c r="F386" s="18"/>
      <c r="G386" s="18"/>
      <c r="H386" s="18"/>
      <c r="I386" s="11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" thickBot="1" x14ac:dyDescent="0.35">
      <c r="B387" s="18"/>
      <c r="C387" s="18"/>
      <c r="D387" s="18"/>
      <c r="E387" s="18"/>
      <c r="F387" s="18"/>
      <c r="G387" s="18"/>
      <c r="H387" s="18"/>
      <c r="I387" s="11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" thickBot="1" x14ac:dyDescent="0.35">
      <c r="B388" s="18"/>
      <c r="C388" s="18"/>
      <c r="D388" s="18"/>
      <c r="E388" s="18"/>
      <c r="F388" s="18"/>
      <c r="G388" s="18"/>
      <c r="H388" s="18"/>
      <c r="I388" s="11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" thickBot="1" x14ac:dyDescent="0.35">
      <c r="B389" s="18"/>
      <c r="C389" s="18"/>
      <c r="D389" s="18"/>
      <c r="E389" s="18"/>
      <c r="F389" s="18"/>
      <c r="G389" s="18"/>
      <c r="H389" s="18"/>
      <c r="I389" s="11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" thickBot="1" x14ac:dyDescent="0.35">
      <c r="B390" s="18"/>
      <c r="C390" s="18"/>
      <c r="D390" s="18"/>
      <c r="E390" s="18"/>
      <c r="F390" s="18"/>
      <c r="G390" s="18"/>
      <c r="H390" s="18"/>
      <c r="I390" s="11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" thickBot="1" x14ac:dyDescent="0.35">
      <c r="B391" s="18"/>
      <c r="C391" s="18"/>
      <c r="D391" s="18"/>
      <c r="E391" s="18"/>
      <c r="F391" s="18"/>
      <c r="G391" s="18"/>
      <c r="H391" s="18"/>
      <c r="I391" s="11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" thickBot="1" x14ac:dyDescent="0.35">
      <c r="B392" s="18"/>
      <c r="C392" s="18"/>
      <c r="D392" s="18"/>
      <c r="E392" s="18"/>
      <c r="F392" s="18"/>
      <c r="G392" s="18"/>
      <c r="H392" s="18"/>
      <c r="I392" s="11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" thickBot="1" x14ac:dyDescent="0.35">
      <c r="B393" s="18"/>
      <c r="C393" s="18"/>
      <c r="D393" s="18"/>
      <c r="E393" s="18"/>
      <c r="F393" s="18"/>
      <c r="G393" s="18"/>
      <c r="H393" s="18"/>
      <c r="I393" s="11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" thickBot="1" x14ac:dyDescent="0.35">
      <c r="B394" s="18"/>
      <c r="C394" s="18"/>
      <c r="D394" s="18"/>
      <c r="E394" s="18"/>
      <c r="F394" s="18"/>
      <c r="G394" s="18"/>
      <c r="H394" s="18"/>
      <c r="I394" s="11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" thickBot="1" x14ac:dyDescent="0.35">
      <c r="B395" s="18"/>
      <c r="C395" s="18"/>
      <c r="D395" s="18"/>
      <c r="E395" s="18"/>
      <c r="F395" s="18"/>
      <c r="G395" s="18"/>
      <c r="H395" s="18"/>
      <c r="I395" s="11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" thickBot="1" x14ac:dyDescent="0.35">
      <c r="B396" s="18"/>
      <c r="C396" s="18"/>
      <c r="D396" s="18"/>
      <c r="E396" s="18"/>
      <c r="F396" s="18"/>
      <c r="G396" s="18"/>
      <c r="H396" s="18"/>
      <c r="I396" s="11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" thickBot="1" x14ac:dyDescent="0.35">
      <c r="B397" s="18"/>
      <c r="C397" s="18"/>
      <c r="D397" s="18"/>
      <c r="E397" s="18"/>
      <c r="F397" s="18"/>
      <c r="G397" s="18"/>
      <c r="H397" s="18"/>
      <c r="I397" s="11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" thickBot="1" x14ac:dyDescent="0.35">
      <c r="B398" s="18"/>
      <c r="C398" s="18"/>
      <c r="D398" s="18"/>
      <c r="E398" s="18"/>
      <c r="F398" s="18"/>
      <c r="G398" s="18"/>
      <c r="H398" s="18"/>
      <c r="I398" s="11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" thickBot="1" x14ac:dyDescent="0.35">
      <c r="B399" s="18"/>
      <c r="C399" s="18"/>
      <c r="D399" s="18"/>
      <c r="E399" s="18"/>
      <c r="F399" s="18"/>
      <c r="G399" s="18"/>
      <c r="H399" s="18"/>
      <c r="I399" s="11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" thickBot="1" x14ac:dyDescent="0.35">
      <c r="B400" s="18"/>
      <c r="C400" s="18"/>
      <c r="D400" s="18"/>
      <c r="E400" s="18"/>
      <c r="F400" s="18"/>
      <c r="G400" s="18"/>
      <c r="H400" s="18"/>
      <c r="I400" s="11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" thickBot="1" x14ac:dyDescent="0.35">
      <c r="B401" s="18"/>
      <c r="C401" s="18"/>
      <c r="D401" s="18"/>
      <c r="E401" s="18"/>
      <c r="F401" s="18"/>
      <c r="G401" s="18"/>
      <c r="H401" s="18"/>
      <c r="I401" s="11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" thickBot="1" x14ac:dyDescent="0.35">
      <c r="B402" s="18"/>
      <c r="C402" s="18"/>
      <c r="D402" s="18"/>
      <c r="E402" s="18"/>
      <c r="F402" s="18"/>
      <c r="G402" s="18"/>
      <c r="H402" s="18"/>
      <c r="I402" s="11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" thickBot="1" x14ac:dyDescent="0.35">
      <c r="B403" s="18"/>
      <c r="C403" s="18"/>
      <c r="D403" s="18"/>
      <c r="E403" s="18"/>
      <c r="F403" s="18"/>
      <c r="G403" s="18"/>
      <c r="H403" s="18"/>
      <c r="I403" s="11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" thickBot="1" x14ac:dyDescent="0.35">
      <c r="B404" s="18"/>
      <c r="C404" s="18"/>
      <c r="D404" s="18"/>
      <c r="E404" s="18"/>
      <c r="F404" s="18"/>
      <c r="G404" s="18"/>
      <c r="H404" s="18"/>
      <c r="I404" s="11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" thickBot="1" x14ac:dyDescent="0.35">
      <c r="B405" s="18"/>
      <c r="C405" s="18"/>
      <c r="D405" s="18"/>
      <c r="E405" s="18"/>
      <c r="F405" s="18"/>
      <c r="G405" s="18"/>
      <c r="H405" s="18"/>
      <c r="I405" s="11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" thickBot="1" x14ac:dyDescent="0.35">
      <c r="B406" s="18"/>
      <c r="C406" s="18"/>
      <c r="D406" s="18"/>
      <c r="E406" s="18"/>
      <c r="F406" s="18"/>
      <c r="G406" s="18"/>
      <c r="H406" s="18"/>
      <c r="I406" s="11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" thickBot="1" x14ac:dyDescent="0.35">
      <c r="B407" s="18"/>
      <c r="C407" s="18"/>
      <c r="D407" s="18"/>
      <c r="E407" s="18"/>
      <c r="F407" s="18"/>
      <c r="G407" s="18"/>
      <c r="H407" s="18"/>
      <c r="I407" s="11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" thickBot="1" x14ac:dyDescent="0.35">
      <c r="B408" s="18"/>
      <c r="C408" s="18"/>
      <c r="D408" s="18"/>
      <c r="E408" s="18"/>
      <c r="F408" s="18"/>
      <c r="G408" s="18"/>
      <c r="H408" s="18"/>
      <c r="I408" s="11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" thickBot="1" x14ac:dyDescent="0.35">
      <c r="B409" s="18"/>
      <c r="C409" s="18"/>
      <c r="D409" s="18"/>
      <c r="E409" s="18"/>
      <c r="F409" s="18"/>
      <c r="G409" s="18"/>
      <c r="H409" s="18"/>
      <c r="I409" s="11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" thickBot="1" x14ac:dyDescent="0.35">
      <c r="B410" s="18"/>
      <c r="C410" s="18"/>
      <c r="D410" s="18"/>
      <c r="E410" s="18"/>
      <c r="F410" s="18"/>
      <c r="G410" s="18"/>
      <c r="H410" s="18"/>
      <c r="I410" s="11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" thickBot="1" x14ac:dyDescent="0.35">
      <c r="B411" s="18"/>
      <c r="C411" s="18"/>
      <c r="D411" s="18"/>
      <c r="E411" s="18"/>
      <c r="F411" s="18"/>
      <c r="G411" s="18"/>
      <c r="H411" s="18"/>
      <c r="I411" s="11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" thickBot="1" x14ac:dyDescent="0.35">
      <c r="B412" s="18"/>
      <c r="C412" s="18"/>
      <c r="D412" s="18"/>
      <c r="E412" s="18"/>
      <c r="F412" s="18"/>
      <c r="G412" s="18"/>
      <c r="H412" s="18"/>
      <c r="I412" s="11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" thickBot="1" x14ac:dyDescent="0.35">
      <c r="B413" s="18"/>
      <c r="C413" s="18"/>
      <c r="D413" s="18"/>
      <c r="E413" s="18"/>
      <c r="F413" s="18"/>
      <c r="G413" s="18"/>
      <c r="H413" s="18"/>
      <c r="I413" s="11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" thickBot="1" x14ac:dyDescent="0.35">
      <c r="B414" s="18"/>
      <c r="C414" s="18"/>
      <c r="D414" s="18"/>
      <c r="E414" s="18"/>
      <c r="F414" s="18"/>
      <c r="G414" s="18"/>
      <c r="H414" s="18"/>
      <c r="I414" s="11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" thickBot="1" x14ac:dyDescent="0.35">
      <c r="B415" s="18"/>
      <c r="C415" s="18"/>
      <c r="D415" s="18"/>
      <c r="E415" s="18"/>
      <c r="F415" s="18"/>
      <c r="G415" s="18"/>
      <c r="H415" s="18"/>
      <c r="I415" s="11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" thickBot="1" x14ac:dyDescent="0.35">
      <c r="B416" s="18"/>
      <c r="C416" s="18"/>
      <c r="D416" s="18"/>
      <c r="E416" s="18"/>
      <c r="F416" s="18"/>
      <c r="G416" s="18"/>
      <c r="H416" s="18"/>
      <c r="I416" s="11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" thickBot="1" x14ac:dyDescent="0.35">
      <c r="B417" s="18"/>
      <c r="C417" s="18"/>
      <c r="D417" s="18"/>
      <c r="E417" s="18"/>
      <c r="F417" s="18"/>
      <c r="G417" s="18"/>
      <c r="H417" s="18"/>
      <c r="I417" s="11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" thickBot="1" x14ac:dyDescent="0.35">
      <c r="B418" s="18"/>
      <c r="C418" s="18"/>
      <c r="D418" s="18"/>
      <c r="E418" s="18"/>
      <c r="F418" s="18"/>
      <c r="G418" s="18"/>
      <c r="H418" s="18"/>
      <c r="I418" s="11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" thickBot="1" x14ac:dyDescent="0.35">
      <c r="B419" s="18"/>
      <c r="C419" s="18"/>
      <c r="D419" s="18"/>
      <c r="E419" s="18"/>
      <c r="F419" s="18"/>
      <c r="G419" s="18"/>
      <c r="H419" s="18"/>
      <c r="I419" s="11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" thickBot="1" x14ac:dyDescent="0.35">
      <c r="B420" s="18"/>
      <c r="C420" s="18"/>
      <c r="D420" s="18"/>
      <c r="E420" s="18"/>
      <c r="F420" s="18"/>
      <c r="G420" s="18"/>
      <c r="H420" s="18"/>
      <c r="I420" s="11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" thickBot="1" x14ac:dyDescent="0.35">
      <c r="B421" s="18"/>
      <c r="C421" s="18"/>
      <c r="D421" s="18"/>
      <c r="E421" s="18"/>
      <c r="F421" s="18"/>
      <c r="G421" s="18"/>
      <c r="H421" s="18"/>
      <c r="I421" s="11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" thickBot="1" x14ac:dyDescent="0.35">
      <c r="B422" s="18"/>
      <c r="C422" s="18"/>
      <c r="D422" s="18"/>
      <c r="E422" s="18"/>
      <c r="F422" s="18"/>
      <c r="G422" s="18"/>
      <c r="H422" s="18"/>
      <c r="I422" s="11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" thickBot="1" x14ac:dyDescent="0.35">
      <c r="B423" s="18"/>
      <c r="C423" s="18"/>
      <c r="D423" s="18"/>
      <c r="E423" s="18"/>
      <c r="F423" s="18"/>
      <c r="G423" s="18"/>
      <c r="H423" s="18"/>
      <c r="I423" s="11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" thickBot="1" x14ac:dyDescent="0.35">
      <c r="B424" s="18"/>
      <c r="C424" s="18"/>
      <c r="D424" s="18"/>
      <c r="E424" s="18"/>
      <c r="F424" s="18"/>
      <c r="G424" s="18"/>
      <c r="H424" s="18"/>
      <c r="I424" s="11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" thickBot="1" x14ac:dyDescent="0.35">
      <c r="B425" s="18"/>
      <c r="C425" s="18"/>
      <c r="D425" s="18"/>
      <c r="E425" s="18"/>
      <c r="F425" s="18"/>
      <c r="G425" s="18"/>
      <c r="H425" s="18"/>
      <c r="I425" s="11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" thickBot="1" x14ac:dyDescent="0.35">
      <c r="B426" s="18"/>
      <c r="C426" s="18"/>
      <c r="D426" s="18"/>
      <c r="E426" s="18"/>
      <c r="F426" s="18"/>
      <c r="G426" s="18"/>
      <c r="H426" s="18"/>
      <c r="I426" s="11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" thickBot="1" x14ac:dyDescent="0.35">
      <c r="B427" s="18"/>
      <c r="C427" s="18"/>
      <c r="D427" s="18"/>
      <c r="E427" s="18"/>
      <c r="F427" s="18"/>
      <c r="G427" s="18"/>
      <c r="H427" s="18"/>
      <c r="I427" s="11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" thickBot="1" x14ac:dyDescent="0.35">
      <c r="B428" s="18"/>
      <c r="C428" s="18"/>
      <c r="D428" s="18"/>
      <c r="E428" s="18"/>
      <c r="F428" s="18"/>
      <c r="G428" s="18"/>
      <c r="H428" s="18"/>
      <c r="I428" s="11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" thickBot="1" x14ac:dyDescent="0.35">
      <c r="B429" s="18"/>
      <c r="C429" s="18"/>
      <c r="D429" s="18"/>
      <c r="E429" s="18"/>
      <c r="F429" s="18"/>
      <c r="G429" s="18"/>
      <c r="H429" s="18"/>
      <c r="I429" s="11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" thickBot="1" x14ac:dyDescent="0.35">
      <c r="B430" s="18"/>
      <c r="C430" s="18"/>
      <c r="D430" s="18"/>
      <c r="E430" s="18"/>
      <c r="F430" s="18"/>
      <c r="G430" s="18"/>
      <c r="H430" s="18"/>
      <c r="I430" s="11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" thickBot="1" x14ac:dyDescent="0.35">
      <c r="B431" s="18"/>
      <c r="C431" s="18"/>
      <c r="D431" s="18"/>
      <c r="E431" s="18"/>
      <c r="F431" s="18"/>
      <c r="G431" s="18"/>
      <c r="H431" s="18"/>
      <c r="I431" s="11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" thickBot="1" x14ac:dyDescent="0.35">
      <c r="B432" s="18"/>
      <c r="C432" s="18"/>
      <c r="D432" s="18"/>
      <c r="E432" s="18"/>
      <c r="F432" s="18"/>
      <c r="G432" s="18"/>
      <c r="H432" s="18"/>
      <c r="I432" s="11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" thickBot="1" x14ac:dyDescent="0.35">
      <c r="B433" s="18"/>
      <c r="C433" s="18"/>
      <c r="D433" s="18"/>
      <c r="E433" s="18"/>
      <c r="F433" s="18"/>
      <c r="G433" s="18"/>
      <c r="H433" s="18"/>
      <c r="I433" s="11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" thickBot="1" x14ac:dyDescent="0.35">
      <c r="B434" s="18"/>
      <c r="C434" s="18"/>
      <c r="D434" s="18"/>
      <c r="E434" s="18"/>
      <c r="F434" s="18"/>
      <c r="G434" s="18"/>
      <c r="H434" s="18"/>
      <c r="I434" s="11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" thickBot="1" x14ac:dyDescent="0.35">
      <c r="B435" s="18"/>
      <c r="C435" s="18"/>
      <c r="D435" s="18"/>
      <c r="E435" s="18"/>
      <c r="F435" s="18"/>
      <c r="G435" s="18"/>
      <c r="H435" s="18"/>
      <c r="I435" s="11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" thickBot="1" x14ac:dyDescent="0.35">
      <c r="B436" s="18"/>
      <c r="C436" s="18"/>
      <c r="D436" s="18"/>
      <c r="E436" s="18"/>
      <c r="F436" s="18"/>
      <c r="G436" s="18"/>
      <c r="H436" s="18"/>
      <c r="I436" s="11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" thickBot="1" x14ac:dyDescent="0.35">
      <c r="B437" s="18"/>
      <c r="C437" s="18"/>
      <c r="D437" s="18"/>
      <c r="E437" s="18"/>
      <c r="F437" s="18"/>
      <c r="G437" s="18"/>
      <c r="H437" s="18"/>
      <c r="I437" s="11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" thickBot="1" x14ac:dyDescent="0.35">
      <c r="B438" s="18"/>
      <c r="C438" s="18"/>
      <c r="D438" s="18"/>
      <c r="E438" s="18"/>
      <c r="F438" s="18"/>
      <c r="G438" s="18"/>
      <c r="H438" s="18"/>
      <c r="I438" s="11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" thickBot="1" x14ac:dyDescent="0.35">
      <c r="B439" s="18"/>
      <c r="C439" s="18"/>
      <c r="D439" s="18"/>
      <c r="E439" s="18"/>
      <c r="F439" s="18"/>
      <c r="G439" s="18"/>
      <c r="H439" s="18"/>
      <c r="I439" s="11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" thickBot="1" x14ac:dyDescent="0.35">
      <c r="B440" s="18"/>
      <c r="C440" s="18"/>
      <c r="D440" s="18"/>
      <c r="E440" s="18"/>
      <c r="F440" s="18"/>
      <c r="G440" s="18"/>
      <c r="H440" s="18"/>
      <c r="I440" s="11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" thickBot="1" x14ac:dyDescent="0.35">
      <c r="B441" s="18"/>
      <c r="C441" s="18"/>
      <c r="D441" s="18"/>
      <c r="E441" s="18"/>
      <c r="F441" s="18"/>
      <c r="G441" s="18"/>
      <c r="H441" s="18"/>
      <c r="I441" s="11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" thickBot="1" x14ac:dyDescent="0.35">
      <c r="B442" s="18"/>
      <c r="C442" s="18"/>
      <c r="D442" s="18"/>
      <c r="E442" s="18"/>
      <c r="F442" s="18"/>
      <c r="G442" s="18"/>
      <c r="H442" s="18"/>
      <c r="I442" s="11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" thickBot="1" x14ac:dyDescent="0.35">
      <c r="B443" s="18"/>
      <c r="C443" s="18"/>
      <c r="D443" s="18"/>
      <c r="E443" s="18"/>
      <c r="F443" s="18"/>
      <c r="G443" s="18"/>
      <c r="H443" s="18"/>
      <c r="I443" s="11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" thickBot="1" x14ac:dyDescent="0.35">
      <c r="B444" s="18"/>
      <c r="C444" s="18"/>
      <c r="D444" s="18"/>
      <c r="E444" s="18"/>
      <c r="F444" s="18"/>
      <c r="G444" s="18"/>
      <c r="H444" s="18"/>
      <c r="I444" s="11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" thickBot="1" x14ac:dyDescent="0.35">
      <c r="B445" s="18"/>
      <c r="C445" s="18"/>
      <c r="D445" s="18"/>
      <c r="E445" s="18"/>
      <c r="F445" s="18"/>
      <c r="G445" s="18"/>
      <c r="H445" s="18"/>
      <c r="I445" s="11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" thickBot="1" x14ac:dyDescent="0.35">
      <c r="B446" s="18"/>
      <c r="C446" s="18"/>
      <c r="D446" s="18"/>
      <c r="E446" s="18"/>
      <c r="F446" s="18"/>
      <c r="G446" s="18"/>
      <c r="H446" s="18"/>
      <c r="I446" s="11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" thickBot="1" x14ac:dyDescent="0.35">
      <c r="B447" s="18"/>
      <c r="C447" s="18"/>
      <c r="D447" s="18"/>
      <c r="E447" s="18"/>
      <c r="F447" s="18"/>
      <c r="G447" s="18"/>
      <c r="H447" s="18"/>
      <c r="I447" s="11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" thickBot="1" x14ac:dyDescent="0.35">
      <c r="B448" s="18"/>
      <c r="C448" s="18"/>
      <c r="D448" s="18"/>
      <c r="E448" s="18"/>
      <c r="F448" s="18"/>
      <c r="G448" s="18"/>
      <c r="H448" s="18"/>
      <c r="I448" s="11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" thickBot="1" x14ac:dyDescent="0.35">
      <c r="B449" s="18"/>
      <c r="C449" s="18"/>
      <c r="D449" s="18"/>
      <c r="E449" s="18"/>
      <c r="F449" s="18"/>
      <c r="G449" s="18"/>
      <c r="H449" s="18"/>
      <c r="I449" s="11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" thickBot="1" x14ac:dyDescent="0.35">
      <c r="B450" s="18"/>
      <c r="C450" s="18"/>
      <c r="D450" s="18"/>
      <c r="E450" s="18"/>
      <c r="F450" s="18"/>
      <c r="G450" s="18"/>
      <c r="H450" s="18"/>
      <c r="I450" s="11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" thickBot="1" x14ac:dyDescent="0.35">
      <c r="B451" s="18"/>
      <c r="C451" s="18"/>
      <c r="D451" s="18"/>
      <c r="E451" s="18"/>
      <c r="F451" s="18"/>
      <c r="G451" s="18"/>
      <c r="H451" s="18"/>
      <c r="I451" s="11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" thickBot="1" x14ac:dyDescent="0.35">
      <c r="B452" s="18"/>
      <c r="C452" s="18"/>
      <c r="D452" s="18"/>
      <c r="E452" s="18"/>
      <c r="F452" s="18"/>
      <c r="G452" s="18"/>
      <c r="H452" s="18"/>
      <c r="I452" s="11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" thickBot="1" x14ac:dyDescent="0.35">
      <c r="B453" s="18"/>
      <c r="C453" s="18"/>
      <c r="D453" s="18"/>
      <c r="E453" s="18"/>
      <c r="F453" s="18"/>
      <c r="G453" s="18"/>
      <c r="H453" s="18"/>
      <c r="I453" s="11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" thickBot="1" x14ac:dyDescent="0.35">
      <c r="B454" s="18"/>
      <c r="C454" s="18"/>
      <c r="D454" s="18"/>
      <c r="E454" s="18"/>
      <c r="F454" s="18"/>
      <c r="G454" s="18"/>
      <c r="H454" s="18"/>
      <c r="I454" s="11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" thickBot="1" x14ac:dyDescent="0.35">
      <c r="B455" s="18"/>
      <c r="C455" s="18"/>
      <c r="D455" s="18"/>
      <c r="E455" s="18"/>
      <c r="F455" s="18"/>
      <c r="G455" s="18"/>
      <c r="H455" s="18"/>
      <c r="I455" s="11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" thickBot="1" x14ac:dyDescent="0.35">
      <c r="B456" s="18"/>
      <c r="C456" s="18"/>
      <c r="D456" s="18"/>
      <c r="E456" s="18"/>
      <c r="F456" s="18"/>
      <c r="G456" s="18"/>
      <c r="H456" s="18"/>
      <c r="I456" s="11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" thickBot="1" x14ac:dyDescent="0.35">
      <c r="B457" s="18"/>
      <c r="C457" s="18"/>
      <c r="D457" s="18"/>
      <c r="E457" s="18"/>
      <c r="F457" s="18"/>
      <c r="G457" s="18"/>
      <c r="H457" s="18"/>
      <c r="I457" s="11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" thickBot="1" x14ac:dyDescent="0.35">
      <c r="B458" s="18"/>
      <c r="C458" s="18"/>
      <c r="D458" s="18"/>
      <c r="E458" s="18"/>
      <c r="F458" s="18"/>
      <c r="G458" s="18"/>
      <c r="H458" s="18"/>
      <c r="I458" s="11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" thickBot="1" x14ac:dyDescent="0.35">
      <c r="B459" s="18"/>
      <c r="C459" s="18"/>
      <c r="D459" s="18"/>
      <c r="E459" s="18"/>
      <c r="F459" s="18"/>
      <c r="G459" s="18"/>
      <c r="H459" s="18"/>
      <c r="I459" s="11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" thickBot="1" x14ac:dyDescent="0.35">
      <c r="B460" s="18"/>
      <c r="C460" s="18"/>
      <c r="D460" s="18"/>
      <c r="E460" s="18"/>
      <c r="F460" s="18"/>
      <c r="G460" s="18"/>
      <c r="H460" s="18"/>
      <c r="I460" s="11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" thickBot="1" x14ac:dyDescent="0.35">
      <c r="B461" s="18"/>
      <c r="C461" s="18"/>
      <c r="D461" s="18"/>
      <c r="E461" s="18"/>
      <c r="F461" s="18"/>
      <c r="G461" s="18"/>
      <c r="H461" s="18"/>
      <c r="I461" s="11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" thickBot="1" x14ac:dyDescent="0.35">
      <c r="B462" s="18"/>
      <c r="C462" s="18"/>
      <c r="D462" s="18"/>
      <c r="E462" s="18"/>
      <c r="F462" s="18"/>
      <c r="G462" s="18"/>
      <c r="H462" s="18"/>
      <c r="I462" s="11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" thickBot="1" x14ac:dyDescent="0.35">
      <c r="B463" s="18"/>
      <c r="C463" s="18"/>
      <c r="D463" s="18"/>
      <c r="E463" s="18"/>
      <c r="F463" s="18"/>
      <c r="G463" s="18"/>
      <c r="H463" s="18"/>
      <c r="I463" s="11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" thickBot="1" x14ac:dyDescent="0.35">
      <c r="B464" s="18"/>
      <c r="C464" s="18"/>
      <c r="D464" s="18"/>
      <c r="E464" s="18"/>
      <c r="F464" s="18"/>
      <c r="G464" s="18"/>
      <c r="H464" s="18"/>
      <c r="I464" s="11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" thickBot="1" x14ac:dyDescent="0.35">
      <c r="B465" s="18"/>
      <c r="C465" s="18"/>
      <c r="D465" s="18"/>
      <c r="E465" s="18"/>
      <c r="F465" s="18"/>
      <c r="G465" s="18"/>
      <c r="H465" s="18"/>
      <c r="I465" s="11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" thickBot="1" x14ac:dyDescent="0.35">
      <c r="B466" s="18"/>
      <c r="C466" s="18"/>
      <c r="D466" s="18"/>
      <c r="E466" s="18"/>
      <c r="F466" s="18"/>
      <c r="G466" s="18"/>
      <c r="H466" s="18"/>
      <c r="I466" s="11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" thickBot="1" x14ac:dyDescent="0.35">
      <c r="B467" s="18"/>
      <c r="C467" s="18"/>
      <c r="D467" s="18"/>
      <c r="E467" s="18"/>
      <c r="F467" s="18"/>
      <c r="G467" s="18"/>
      <c r="H467" s="18"/>
      <c r="I467" s="11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" thickBot="1" x14ac:dyDescent="0.35">
      <c r="B468" s="18"/>
      <c r="C468" s="18"/>
      <c r="D468" s="18"/>
      <c r="E468" s="18"/>
      <c r="F468" s="18"/>
      <c r="G468" s="18"/>
      <c r="H468" s="18"/>
      <c r="I468" s="11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" thickBot="1" x14ac:dyDescent="0.35">
      <c r="B469" s="18"/>
      <c r="C469" s="18"/>
      <c r="D469" s="18"/>
      <c r="E469" s="18"/>
      <c r="F469" s="18"/>
      <c r="G469" s="18"/>
      <c r="H469" s="18"/>
      <c r="I469" s="11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" thickBot="1" x14ac:dyDescent="0.35">
      <c r="B470" s="18"/>
      <c r="C470" s="18"/>
      <c r="D470" s="18"/>
      <c r="E470" s="18"/>
      <c r="F470" s="18"/>
      <c r="G470" s="18"/>
      <c r="H470" s="18"/>
      <c r="I470" s="11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" thickBot="1" x14ac:dyDescent="0.35">
      <c r="B471" s="18"/>
      <c r="C471" s="18"/>
      <c r="D471" s="18"/>
      <c r="E471" s="18"/>
      <c r="F471" s="18"/>
      <c r="G471" s="18"/>
      <c r="H471" s="18"/>
      <c r="I471" s="11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" thickBot="1" x14ac:dyDescent="0.35">
      <c r="B472" s="18"/>
      <c r="C472" s="18"/>
      <c r="D472" s="18"/>
      <c r="E472" s="18"/>
      <c r="F472" s="18"/>
      <c r="G472" s="18"/>
      <c r="H472" s="18"/>
      <c r="I472" s="11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" thickBot="1" x14ac:dyDescent="0.35">
      <c r="B473" s="18"/>
      <c r="C473" s="18"/>
      <c r="D473" s="18"/>
      <c r="E473" s="18"/>
      <c r="F473" s="18"/>
      <c r="G473" s="18"/>
      <c r="H473" s="18"/>
      <c r="I473" s="11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" thickBot="1" x14ac:dyDescent="0.35">
      <c r="B474" s="18"/>
      <c r="C474" s="18"/>
      <c r="D474" s="18"/>
      <c r="E474" s="18"/>
      <c r="F474" s="18"/>
      <c r="G474" s="18"/>
      <c r="H474" s="18"/>
      <c r="I474" s="11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" thickBot="1" x14ac:dyDescent="0.35">
      <c r="B475" s="18"/>
      <c r="C475" s="18"/>
      <c r="D475" s="18"/>
      <c r="E475" s="18"/>
      <c r="F475" s="18"/>
      <c r="G475" s="18"/>
      <c r="H475" s="18"/>
      <c r="I475" s="11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" thickBot="1" x14ac:dyDescent="0.35">
      <c r="B476" s="18"/>
      <c r="C476" s="18"/>
      <c r="D476" s="18"/>
      <c r="E476" s="18"/>
      <c r="F476" s="18"/>
      <c r="G476" s="18"/>
      <c r="H476" s="18"/>
      <c r="I476" s="11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" thickBot="1" x14ac:dyDescent="0.35">
      <c r="B477" s="18"/>
      <c r="C477" s="18"/>
      <c r="D477" s="18"/>
      <c r="E477" s="18"/>
      <c r="F477" s="18"/>
      <c r="G477" s="18"/>
      <c r="H477" s="18"/>
      <c r="I477" s="11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" thickBot="1" x14ac:dyDescent="0.35">
      <c r="B478" s="18"/>
      <c r="C478" s="18"/>
      <c r="D478" s="18"/>
      <c r="E478" s="18"/>
      <c r="F478" s="18"/>
      <c r="G478" s="18"/>
      <c r="H478" s="18"/>
      <c r="I478" s="11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" thickBot="1" x14ac:dyDescent="0.35">
      <c r="B479" s="18"/>
      <c r="C479" s="18"/>
      <c r="D479" s="18"/>
      <c r="E479" s="18"/>
      <c r="F479" s="18"/>
      <c r="G479" s="18"/>
      <c r="H479" s="18"/>
      <c r="I479" s="11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" thickBot="1" x14ac:dyDescent="0.35">
      <c r="B480" s="18"/>
      <c r="C480" s="18"/>
      <c r="D480" s="18"/>
      <c r="E480" s="18"/>
      <c r="F480" s="18"/>
      <c r="G480" s="18"/>
      <c r="H480" s="18"/>
      <c r="I480" s="11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" thickBot="1" x14ac:dyDescent="0.35">
      <c r="B481" s="18"/>
      <c r="C481" s="18"/>
      <c r="D481" s="18"/>
      <c r="E481" s="18"/>
      <c r="F481" s="18"/>
      <c r="G481" s="18"/>
      <c r="H481" s="18"/>
      <c r="I481" s="11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" thickBot="1" x14ac:dyDescent="0.35">
      <c r="B482" s="18"/>
      <c r="C482" s="18"/>
      <c r="D482" s="18"/>
      <c r="E482" s="18"/>
      <c r="F482" s="18"/>
      <c r="G482" s="18"/>
      <c r="H482" s="18"/>
      <c r="I482" s="11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" thickBot="1" x14ac:dyDescent="0.35">
      <c r="B483" s="18"/>
      <c r="C483" s="18"/>
      <c r="D483" s="18"/>
      <c r="E483" s="18"/>
      <c r="F483" s="18"/>
      <c r="G483" s="18"/>
      <c r="H483" s="18"/>
      <c r="I483" s="11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" thickBot="1" x14ac:dyDescent="0.35">
      <c r="B484" s="18"/>
      <c r="C484" s="18"/>
      <c r="D484" s="18"/>
      <c r="E484" s="18"/>
      <c r="F484" s="18"/>
      <c r="G484" s="18"/>
      <c r="H484" s="18"/>
      <c r="I484" s="11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" thickBot="1" x14ac:dyDescent="0.35">
      <c r="B485" s="18"/>
      <c r="C485" s="18"/>
      <c r="D485" s="18"/>
      <c r="E485" s="18"/>
      <c r="F485" s="18"/>
      <c r="G485" s="18"/>
      <c r="H485" s="18"/>
      <c r="I485" s="11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" thickBot="1" x14ac:dyDescent="0.35">
      <c r="B486" s="18"/>
      <c r="C486" s="18"/>
      <c r="D486" s="18"/>
      <c r="E486" s="18"/>
      <c r="F486" s="18"/>
      <c r="G486" s="18"/>
      <c r="H486" s="18"/>
      <c r="I486" s="11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" thickBot="1" x14ac:dyDescent="0.35">
      <c r="B487" s="18"/>
      <c r="C487" s="18"/>
      <c r="D487" s="18"/>
      <c r="E487" s="18"/>
      <c r="F487" s="18"/>
      <c r="G487" s="18"/>
      <c r="H487" s="18"/>
      <c r="I487" s="11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" thickBot="1" x14ac:dyDescent="0.35">
      <c r="B488" s="18"/>
      <c r="C488" s="18"/>
      <c r="D488" s="18"/>
      <c r="E488" s="18"/>
      <c r="F488" s="18"/>
      <c r="G488" s="18"/>
      <c r="H488" s="18"/>
      <c r="I488" s="11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" thickBot="1" x14ac:dyDescent="0.35">
      <c r="B489" s="18"/>
      <c r="C489" s="18"/>
      <c r="D489" s="18"/>
      <c r="E489" s="18"/>
      <c r="F489" s="18"/>
      <c r="G489" s="18"/>
      <c r="H489" s="18"/>
      <c r="I489" s="11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" thickBot="1" x14ac:dyDescent="0.35">
      <c r="B490" s="18"/>
      <c r="C490" s="18"/>
      <c r="D490" s="18"/>
      <c r="E490" s="18"/>
      <c r="F490" s="18"/>
      <c r="G490" s="18"/>
      <c r="H490" s="18"/>
      <c r="I490" s="11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" thickBot="1" x14ac:dyDescent="0.35">
      <c r="B491" s="18"/>
      <c r="C491" s="18"/>
      <c r="D491" s="18"/>
      <c r="E491" s="18"/>
      <c r="F491" s="18"/>
      <c r="G491" s="18"/>
      <c r="H491" s="18"/>
      <c r="I491" s="11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" thickBot="1" x14ac:dyDescent="0.35">
      <c r="B492" s="18"/>
      <c r="C492" s="18"/>
      <c r="D492" s="18"/>
      <c r="E492" s="18"/>
      <c r="F492" s="18"/>
      <c r="G492" s="18"/>
      <c r="H492" s="18"/>
      <c r="I492" s="11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" thickBot="1" x14ac:dyDescent="0.35">
      <c r="B493" s="18"/>
      <c r="C493" s="18"/>
      <c r="D493" s="18"/>
      <c r="E493" s="18"/>
      <c r="F493" s="18"/>
      <c r="G493" s="18"/>
      <c r="H493" s="18"/>
      <c r="I493" s="11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" thickBot="1" x14ac:dyDescent="0.35">
      <c r="B494" s="18"/>
      <c r="C494" s="18"/>
      <c r="D494" s="18"/>
      <c r="E494" s="18"/>
      <c r="F494" s="18"/>
      <c r="G494" s="18"/>
      <c r="H494" s="18"/>
      <c r="I494" s="11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" thickBot="1" x14ac:dyDescent="0.35">
      <c r="B495" s="18"/>
      <c r="C495" s="18"/>
      <c r="D495" s="18"/>
      <c r="E495" s="18"/>
      <c r="F495" s="18"/>
      <c r="G495" s="18"/>
      <c r="H495" s="18"/>
      <c r="I495" s="11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" thickBot="1" x14ac:dyDescent="0.35">
      <c r="B496" s="18"/>
      <c r="C496" s="18"/>
      <c r="D496" s="18"/>
      <c r="E496" s="18"/>
      <c r="F496" s="18"/>
      <c r="G496" s="18"/>
      <c r="H496" s="18"/>
      <c r="I496" s="11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" thickBot="1" x14ac:dyDescent="0.35">
      <c r="B497" s="18"/>
      <c r="C497" s="18"/>
      <c r="D497" s="18"/>
      <c r="E497" s="18"/>
      <c r="F497" s="18"/>
      <c r="G497" s="18"/>
      <c r="H497" s="18"/>
      <c r="I497" s="11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" thickBot="1" x14ac:dyDescent="0.35">
      <c r="B498" s="18"/>
      <c r="C498" s="18"/>
      <c r="D498" s="18"/>
      <c r="E498" s="18"/>
      <c r="F498" s="18"/>
      <c r="G498" s="18"/>
      <c r="H498" s="18"/>
      <c r="I498" s="11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" thickBot="1" x14ac:dyDescent="0.35">
      <c r="B499" s="18"/>
      <c r="C499" s="18"/>
      <c r="D499" s="18"/>
      <c r="E499" s="18"/>
      <c r="F499" s="18"/>
      <c r="G499" s="18"/>
      <c r="H499" s="18"/>
      <c r="I499" s="11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" thickBot="1" x14ac:dyDescent="0.35">
      <c r="B500" s="18"/>
      <c r="C500" s="18"/>
      <c r="D500" s="18"/>
      <c r="E500" s="18"/>
      <c r="F500" s="18"/>
      <c r="G500" s="18"/>
      <c r="H500" s="18"/>
      <c r="I500" s="11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" thickBot="1" x14ac:dyDescent="0.35">
      <c r="B501" s="18"/>
      <c r="C501" s="18"/>
      <c r="D501" s="18"/>
      <c r="E501" s="18"/>
      <c r="F501" s="18"/>
      <c r="G501" s="18"/>
      <c r="H501" s="18"/>
      <c r="I501" s="11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" thickBot="1" x14ac:dyDescent="0.35">
      <c r="B502" s="18"/>
      <c r="C502" s="18"/>
      <c r="D502" s="18"/>
      <c r="E502" s="18"/>
      <c r="F502" s="18"/>
      <c r="G502" s="18"/>
      <c r="H502" s="18"/>
      <c r="I502" s="11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" thickBot="1" x14ac:dyDescent="0.35">
      <c r="B503" s="18"/>
      <c r="C503" s="18"/>
      <c r="D503" s="18"/>
      <c r="E503" s="18"/>
      <c r="F503" s="18"/>
      <c r="G503" s="18"/>
      <c r="H503" s="18"/>
      <c r="I503" s="11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" thickBot="1" x14ac:dyDescent="0.35">
      <c r="B504" s="18"/>
      <c r="C504" s="18"/>
      <c r="D504" s="18"/>
      <c r="E504" s="18"/>
      <c r="F504" s="18"/>
      <c r="G504" s="18"/>
      <c r="H504" s="18"/>
      <c r="I504" s="11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" thickBot="1" x14ac:dyDescent="0.35">
      <c r="B505" s="18"/>
      <c r="C505" s="18"/>
      <c r="D505" s="18"/>
      <c r="E505" s="18"/>
      <c r="F505" s="18"/>
      <c r="G505" s="18"/>
      <c r="H505" s="18"/>
      <c r="I505" s="11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" thickBot="1" x14ac:dyDescent="0.35">
      <c r="B506" s="18"/>
      <c r="C506" s="18"/>
      <c r="D506" s="18"/>
      <c r="E506" s="18"/>
      <c r="F506" s="18"/>
      <c r="G506" s="18"/>
      <c r="H506" s="18"/>
      <c r="I506" s="11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" thickBot="1" x14ac:dyDescent="0.35">
      <c r="B507" s="18"/>
      <c r="C507" s="18"/>
      <c r="D507" s="18"/>
      <c r="E507" s="18"/>
      <c r="F507" s="18"/>
      <c r="G507" s="18"/>
      <c r="H507" s="18"/>
      <c r="I507" s="11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" thickBot="1" x14ac:dyDescent="0.35">
      <c r="B508" s="18"/>
      <c r="C508" s="18"/>
      <c r="D508" s="18"/>
      <c r="E508" s="18"/>
      <c r="F508" s="18"/>
      <c r="G508" s="18"/>
      <c r="H508" s="18"/>
      <c r="I508" s="11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" thickBot="1" x14ac:dyDescent="0.35">
      <c r="B509" s="18"/>
      <c r="C509" s="18"/>
      <c r="D509" s="18"/>
      <c r="E509" s="18"/>
      <c r="F509" s="18"/>
      <c r="G509" s="18"/>
      <c r="H509" s="18"/>
      <c r="I509" s="11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" thickBot="1" x14ac:dyDescent="0.35">
      <c r="B510" s="18"/>
      <c r="C510" s="18"/>
      <c r="D510" s="18"/>
      <c r="E510" s="18"/>
      <c r="F510" s="18"/>
      <c r="G510" s="18"/>
      <c r="H510" s="18"/>
      <c r="I510" s="11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" thickBot="1" x14ac:dyDescent="0.35">
      <c r="B511" s="18"/>
      <c r="C511" s="18"/>
      <c r="D511" s="18"/>
      <c r="E511" s="18"/>
      <c r="F511" s="18"/>
      <c r="G511" s="18"/>
      <c r="H511" s="18"/>
      <c r="I511" s="11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" thickBot="1" x14ac:dyDescent="0.35">
      <c r="B512" s="18"/>
      <c r="C512" s="18"/>
      <c r="D512" s="18"/>
      <c r="E512" s="18"/>
      <c r="F512" s="18"/>
      <c r="G512" s="18"/>
      <c r="H512" s="18"/>
      <c r="I512" s="11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" thickBot="1" x14ac:dyDescent="0.35">
      <c r="B513" s="18"/>
      <c r="C513" s="18"/>
      <c r="D513" s="18"/>
      <c r="E513" s="18"/>
      <c r="F513" s="18"/>
      <c r="G513" s="18"/>
      <c r="H513" s="18"/>
      <c r="I513" s="11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" thickBot="1" x14ac:dyDescent="0.35">
      <c r="B514" s="18"/>
      <c r="C514" s="18"/>
      <c r="D514" s="18"/>
      <c r="E514" s="18"/>
      <c r="F514" s="18"/>
      <c r="G514" s="18"/>
      <c r="H514" s="18"/>
      <c r="I514" s="11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" thickBot="1" x14ac:dyDescent="0.35">
      <c r="B515" s="18"/>
      <c r="C515" s="18"/>
      <c r="D515" s="18"/>
      <c r="E515" s="18"/>
      <c r="F515" s="18"/>
      <c r="G515" s="18"/>
      <c r="H515" s="18"/>
      <c r="I515" s="11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" thickBot="1" x14ac:dyDescent="0.35">
      <c r="B516" s="18"/>
      <c r="C516" s="18"/>
      <c r="D516" s="18"/>
      <c r="E516" s="18"/>
      <c r="F516" s="18"/>
      <c r="G516" s="18"/>
      <c r="H516" s="18"/>
      <c r="I516" s="11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" thickBot="1" x14ac:dyDescent="0.35">
      <c r="B517" s="18"/>
      <c r="C517" s="18"/>
      <c r="D517" s="18"/>
      <c r="E517" s="18"/>
      <c r="F517" s="18"/>
      <c r="G517" s="18"/>
      <c r="H517" s="18"/>
      <c r="I517" s="11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" thickBot="1" x14ac:dyDescent="0.35">
      <c r="B518" s="18"/>
      <c r="C518" s="18"/>
      <c r="D518" s="18"/>
      <c r="E518" s="18"/>
      <c r="F518" s="18"/>
      <c r="G518" s="18"/>
      <c r="H518" s="18"/>
      <c r="I518" s="11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" thickBot="1" x14ac:dyDescent="0.35">
      <c r="B519" s="18"/>
      <c r="C519" s="18"/>
      <c r="D519" s="18"/>
      <c r="E519" s="18"/>
      <c r="F519" s="18"/>
      <c r="G519" s="18"/>
      <c r="H519" s="18"/>
      <c r="I519" s="11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" thickBot="1" x14ac:dyDescent="0.35">
      <c r="B520" s="18"/>
      <c r="C520" s="18"/>
      <c r="D520" s="18"/>
      <c r="E520" s="18"/>
      <c r="F520" s="18"/>
      <c r="G520" s="18"/>
      <c r="H520" s="18"/>
      <c r="I520" s="11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" thickBot="1" x14ac:dyDescent="0.35">
      <c r="B521" s="18"/>
      <c r="C521" s="18"/>
      <c r="D521" s="18"/>
      <c r="E521" s="18"/>
      <c r="F521" s="18"/>
      <c r="G521" s="18"/>
      <c r="H521" s="18"/>
      <c r="I521" s="11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" thickBot="1" x14ac:dyDescent="0.35">
      <c r="B522" s="18"/>
      <c r="C522" s="18"/>
      <c r="D522" s="18"/>
      <c r="E522" s="18"/>
      <c r="F522" s="18"/>
      <c r="G522" s="18"/>
      <c r="H522" s="18"/>
      <c r="I522" s="11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" thickBot="1" x14ac:dyDescent="0.35">
      <c r="B523" s="18"/>
      <c r="C523" s="18"/>
      <c r="D523" s="18"/>
      <c r="E523" s="18"/>
      <c r="F523" s="18"/>
      <c r="G523" s="18"/>
      <c r="H523" s="18"/>
      <c r="I523" s="11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" thickBot="1" x14ac:dyDescent="0.35">
      <c r="B524" s="18"/>
      <c r="C524" s="18"/>
      <c r="D524" s="18"/>
      <c r="E524" s="18"/>
      <c r="F524" s="18"/>
      <c r="G524" s="18"/>
      <c r="H524" s="18"/>
      <c r="I524" s="11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" thickBot="1" x14ac:dyDescent="0.35">
      <c r="B525" s="18"/>
      <c r="C525" s="18"/>
      <c r="D525" s="18"/>
      <c r="E525" s="18"/>
      <c r="F525" s="18"/>
      <c r="G525" s="18"/>
      <c r="H525" s="18"/>
      <c r="I525" s="11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" thickBot="1" x14ac:dyDescent="0.35">
      <c r="B526" s="15"/>
      <c r="C526" s="15"/>
      <c r="D526" s="15"/>
      <c r="E526" s="15"/>
      <c r="F526" s="15"/>
      <c r="G526" s="15"/>
      <c r="H526" s="15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" thickBot="1" x14ac:dyDescent="0.3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" thickBot="1" x14ac:dyDescent="0.3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" thickBot="1" x14ac:dyDescent="0.3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" thickBot="1" x14ac:dyDescent="0.3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" thickBot="1" x14ac:dyDescent="0.3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" thickBot="1" x14ac:dyDescent="0.3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" thickBot="1" x14ac:dyDescent="0.3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" thickBot="1" x14ac:dyDescent="0.3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" thickBot="1" x14ac:dyDescent="0.3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" thickBot="1" x14ac:dyDescent="0.3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" thickBot="1" x14ac:dyDescent="0.3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" thickBot="1" x14ac:dyDescent="0.3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" thickBot="1" x14ac:dyDescent="0.3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" thickBot="1" x14ac:dyDescent="0.3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" thickBot="1" x14ac:dyDescent="0.3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" thickBot="1" x14ac:dyDescent="0.3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" thickBot="1" x14ac:dyDescent="0.3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" thickBot="1" x14ac:dyDescent="0.3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" thickBot="1" x14ac:dyDescent="0.3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" thickBot="1" x14ac:dyDescent="0.3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" thickBot="1" x14ac:dyDescent="0.3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" thickBot="1" x14ac:dyDescent="0.3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" thickBot="1" x14ac:dyDescent="0.3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" thickBot="1" x14ac:dyDescent="0.3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" thickBot="1" x14ac:dyDescent="0.3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" thickBot="1" x14ac:dyDescent="0.3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" thickBot="1" x14ac:dyDescent="0.3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" thickBot="1" x14ac:dyDescent="0.3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" thickBot="1" x14ac:dyDescent="0.3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" thickBot="1" x14ac:dyDescent="0.3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" thickBot="1" x14ac:dyDescent="0.3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" thickBot="1" x14ac:dyDescent="0.3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" thickBot="1" x14ac:dyDescent="0.3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" thickBot="1" x14ac:dyDescent="0.3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" thickBot="1" x14ac:dyDescent="0.3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" thickBot="1" x14ac:dyDescent="0.3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" thickBot="1" x14ac:dyDescent="0.3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" thickBot="1" x14ac:dyDescent="0.3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" thickBot="1" x14ac:dyDescent="0.3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" thickBot="1" x14ac:dyDescent="0.3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" thickBot="1" x14ac:dyDescent="0.3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" thickBot="1" x14ac:dyDescent="0.3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" thickBot="1" x14ac:dyDescent="0.3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" thickBot="1" x14ac:dyDescent="0.3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" thickBot="1" x14ac:dyDescent="0.3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" thickBot="1" x14ac:dyDescent="0.3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" thickBot="1" x14ac:dyDescent="0.3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" thickBot="1" x14ac:dyDescent="0.3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" thickBot="1" x14ac:dyDescent="0.3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" thickBot="1" x14ac:dyDescent="0.3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" thickBot="1" x14ac:dyDescent="0.3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" thickBot="1" x14ac:dyDescent="0.3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" thickBot="1" x14ac:dyDescent="0.3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" thickBot="1" x14ac:dyDescent="0.3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" thickBot="1" x14ac:dyDescent="0.3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" thickBot="1" x14ac:dyDescent="0.3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" thickBot="1" x14ac:dyDescent="0.3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" thickBot="1" x14ac:dyDescent="0.3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" thickBot="1" x14ac:dyDescent="0.3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" thickBot="1" x14ac:dyDescent="0.3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" thickBot="1" x14ac:dyDescent="0.3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" thickBot="1" x14ac:dyDescent="0.3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" thickBot="1" x14ac:dyDescent="0.3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" thickBot="1" x14ac:dyDescent="0.3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" thickBot="1" x14ac:dyDescent="0.3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" thickBot="1" x14ac:dyDescent="0.3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" thickBot="1" x14ac:dyDescent="0.3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" thickBot="1" x14ac:dyDescent="0.3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" thickBot="1" x14ac:dyDescent="0.3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" thickBot="1" x14ac:dyDescent="0.3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" thickBot="1" x14ac:dyDescent="0.3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" thickBot="1" x14ac:dyDescent="0.3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" thickBot="1" x14ac:dyDescent="0.3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" thickBot="1" x14ac:dyDescent="0.3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" thickBot="1" x14ac:dyDescent="0.3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" thickBot="1" x14ac:dyDescent="0.3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" thickBot="1" x14ac:dyDescent="0.3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" thickBot="1" x14ac:dyDescent="0.3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" thickBot="1" x14ac:dyDescent="0.3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" thickBot="1" x14ac:dyDescent="0.3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" thickBot="1" x14ac:dyDescent="0.3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" thickBot="1" x14ac:dyDescent="0.3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" thickBot="1" x14ac:dyDescent="0.3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" thickBot="1" x14ac:dyDescent="0.3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" thickBot="1" x14ac:dyDescent="0.3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" thickBot="1" x14ac:dyDescent="0.3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" thickBot="1" x14ac:dyDescent="0.3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" thickBot="1" x14ac:dyDescent="0.3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" thickBot="1" x14ac:dyDescent="0.3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" thickBot="1" x14ac:dyDescent="0.3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" thickBot="1" x14ac:dyDescent="0.3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" thickBot="1" x14ac:dyDescent="0.3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" thickBot="1" x14ac:dyDescent="0.3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" thickBot="1" x14ac:dyDescent="0.3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" thickBot="1" x14ac:dyDescent="0.3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" thickBot="1" x14ac:dyDescent="0.3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" thickBot="1" x14ac:dyDescent="0.3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" thickBot="1" x14ac:dyDescent="0.3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" thickBot="1" x14ac:dyDescent="0.3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" thickBot="1" x14ac:dyDescent="0.3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" thickBot="1" x14ac:dyDescent="0.3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" thickBot="1" x14ac:dyDescent="0.3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" thickBot="1" x14ac:dyDescent="0.3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" thickBot="1" x14ac:dyDescent="0.3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" thickBot="1" x14ac:dyDescent="0.3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" thickBot="1" x14ac:dyDescent="0.3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" thickBot="1" x14ac:dyDescent="0.3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" thickBot="1" x14ac:dyDescent="0.3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" thickBot="1" x14ac:dyDescent="0.3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" thickBot="1" x14ac:dyDescent="0.3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" thickBot="1" x14ac:dyDescent="0.3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" thickBot="1" x14ac:dyDescent="0.3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" thickBot="1" x14ac:dyDescent="0.3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" thickBot="1" x14ac:dyDescent="0.3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" thickBot="1" x14ac:dyDescent="0.3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" thickBot="1" x14ac:dyDescent="0.3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" thickBot="1" x14ac:dyDescent="0.3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" thickBot="1" x14ac:dyDescent="0.3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" thickBot="1" x14ac:dyDescent="0.3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" thickBot="1" x14ac:dyDescent="0.3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" thickBot="1" x14ac:dyDescent="0.3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" thickBot="1" x14ac:dyDescent="0.3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" thickBot="1" x14ac:dyDescent="0.3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" thickBot="1" x14ac:dyDescent="0.3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" thickBot="1" x14ac:dyDescent="0.3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" thickBot="1" x14ac:dyDescent="0.3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" thickBot="1" x14ac:dyDescent="0.3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" thickBot="1" x14ac:dyDescent="0.3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" thickBot="1" x14ac:dyDescent="0.3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" thickBot="1" x14ac:dyDescent="0.3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" thickBot="1" x14ac:dyDescent="0.3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" thickBot="1" x14ac:dyDescent="0.3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" thickBot="1" x14ac:dyDescent="0.3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" thickBot="1" x14ac:dyDescent="0.3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" thickBot="1" x14ac:dyDescent="0.3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" thickBot="1" x14ac:dyDescent="0.3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" thickBot="1" x14ac:dyDescent="0.3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" thickBot="1" x14ac:dyDescent="0.3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" thickBot="1" x14ac:dyDescent="0.3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" thickBot="1" x14ac:dyDescent="0.3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" thickBot="1" x14ac:dyDescent="0.3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" thickBot="1" x14ac:dyDescent="0.3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" thickBot="1" x14ac:dyDescent="0.3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" thickBot="1" x14ac:dyDescent="0.3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" thickBot="1" x14ac:dyDescent="0.3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" thickBot="1" x14ac:dyDescent="0.3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" thickBot="1" x14ac:dyDescent="0.3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" thickBot="1" x14ac:dyDescent="0.3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" thickBot="1" x14ac:dyDescent="0.3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" thickBot="1" x14ac:dyDescent="0.3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" thickBot="1" x14ac:dyDescent="0.3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" thickBot="1" x14ac:dyDescent="0.3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" thickBot="1" x14ac:dyDescent="0.3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" thickBot="1" x14ac:dyDescent="0.3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" thickBot="1" x14ac:dyDescent="0.3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" thickBot="1" x14ac:dyDescent="0.3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" thickBot="1" x14ac:dyDescent="0.3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" thickBot="1" x14ac:dyDescent="0.3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" thickBot="1" x14ac:dyDescent="0.3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" thickBot="1" x14ac:dyDescent="0.3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" thickBot="1" x14ac:dyDescent="0.3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" thickBot="1" x14ac:dyDescent="0.3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" thickBot="1" x14ac:dyDescent="0.3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" thickBot="1" x14ac:dyDescent="0.3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" thickBot="1" x14ac:dyDescent="0.3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" thickBot="1" x14ac:dyDescent="0.3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" thickBot="1" x14ac:dyDescent="0.3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" thickBot="1" x14ac:dyDescent="0.3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" thickBot="1" x14ac:dyDescent="0.3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" thickBot="1" x14ac:dyDescent="0.3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" thickBot="1" x14ac:dyDescent="0.3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" thickBot="1" x14ac:dyDescent="0.3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" thickBot="1" x14ac:dyDescent="0.3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" thickBot="1" x14ac:dyDescent="0.3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" thickBot="1" x14ac:dyDescent="0.3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" thickBot="1" x14ac:dyDescent="0.3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" thickBot="1" x14ac:dyDescent="0.3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" thickBot="1" x14ac:dyDescent="0.3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" thickBot="1" x14ac:dyDescent="0.3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" thickBot="1" x14ac:dyDescent="0.3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" thickBot="1" x14ac:dyDescent="0.3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" thickBot="1" x14ac:dyDescent="0.3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" thickBot="1" x14ac:dyDescent="0.3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" thickBot="1" x14ac:dyDescent="0.3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" thickBot="1" x14ac:dyDescent="0.3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" thickBot="1" x14ac:dyDescent="0.3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" thickBot="1" x14ac:dyDescent="0.3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" thickBot="1" x14ac:dyDescent="0.3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" thickBot="1" x14ac:dyDescent="0.3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" thickBot="1" x14ac:dyDescent="0.3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" thickBot="1" x14ac:dyDescent="0.3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" thickBot="1" x14ac:dyDescent="0.3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" thickBot="1" x14ac:dyDescent="0.3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" thickBot="1" x14ac:dyDescent="0.3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" thickBot="1" x14ac:dyDescent="0.3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" thickBot="1" x14ac:dyDescent="0.3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" thickBot="1" x14ac:dyDescent="0.3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" thickBot="1" x14ac:dyDescent="0.3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" thickBot="1" x14ac:dyDescent="0.3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" thickBot="1" x14ac:dyDescent="0.3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" thickBot="1" x14ac:dyDescent="0.3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" thickBot="1" x14ac:dyDescent="0.3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" thickBot="1" x14ac:dyDescent="0.3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" thickBot="1" x14ac:dyDescent="0.3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" thickBot="1" x14ac:dyDescent="0.3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" thickBot="1" x14ac:dyDescent="0.3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" thickBot="1" x14ac:dyDescent="0.3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" thickBot="1" x14ac:dyDescent="0.3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" thickBot="1" x14ac:dyDescent="0.3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" thickBot="1" x14ac:dyDescent="0.3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" thickBot="1" x14ac:dyDescent="0.3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" thickBot="1" x14ac:dyDescent="0.3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" thickBot="1" x14ac:dyDescent="0.3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" thickBot="1" x14ac:dyDescent="0.3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" thickBot="1" x14ac:dyDescent="0.3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" thickBot="1" x14ac:dyDescent="0.3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" thickBot="1" x14ac:dyDescent="0.3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" thickBot="1" x14ac:dyDescent="0.3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" thickBot="1" x14ac:dyDescent="0.3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" thickBot="1" x14ac:dyDescent="0.3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" thickBot="1" x14ac:dyDescent="0.3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" thickBot="1" x14ac:dyDescent="0.3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" thickBot="1" x14ac:dyDescent="0.3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" thickBot="1" x14ac:dyDescent="0.3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" thickBot="1" x14ac:dyDescent="0.3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" thickBot="1" x14ac:dyDescent="0.3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" thickBot="1" x14ac:dyDescent="0.3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" thickBot="1" x14ac:dyDescent="0.3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" thickBot="1" x14ac:dyDescent="0.3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" thickBot="1" x14ac:dyDescent="0.3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" thickBot="1" x14ac:dyDescent="0.3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" thickBot="1" x14ac:dyDescent="0.3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" thickBot="1" x14ac:dyDescent="0.3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" thickBot="1" x14ac:dyDescent="0.3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" thickBot="1" x14ac:dyDescent="0.3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" thickBot="1" x14ac:dyDescent="0.3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" thickBot="1" x14ac:dyDescent="0.3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" thickBot="1" x14ac:dyDescent="0.3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" thickBot="1" x14ac:dyDescent="0.3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" thickBot="1" x14ac:dyDescent="0.3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" thickBot="1" x14ac:dyDescent="0.3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" thickBot="1" x14ac:dyDescent="0.3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" thickBot="1" x14ac:dyDescent="0.3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" thickBot="1" x14ac:dyDescent="0.3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" thickBot="1" x14ac:dyDescent="0.3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" thickBot="1" x14ac:dyDescent="0.3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" thickBot="1" x14ac:dyDescent="0.3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" thickBot="1" x14ac:dyDescent="0.3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" thickBot="1" x14ac:dyDescent="0.3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" thickBot="1" x14ac:dyDescent="0.3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" thickBot="1" x14ac:dyDescent="0.3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" thickBot="1" x14ac:dyDescent="0.3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" thickBot="1" x14ac:dyDescent="0.3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" thickBot="1" x14ac:dyDescent="0.3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" thickBot="1" x14ac:dyDescent="0.3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" thickBot="1" x14ac:dyDescent="0.3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" thickBot="1" x14ac:dyDescent="0.3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" thickBot="1" x14ac:dyDescent="0.3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" thickBot="1" x14ac:dyDescent="0.3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" thickBot="1" x14ac:dyDescent="0.3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" thickBot="1" x14ac:dyDescent="0.3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" thickBot="1" x14ac:dyDescent="0.3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" thickBot="1" x14ac:dyDescent="0.3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" thickBot="1" x14ac:dyDescent="0.3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" thickBot="1" x14ac:dyDescent="0.3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" thickBot="1" x14ac:dyDescent="0.3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" thickBot="1" x14ac:dyDescent="0.3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" thickBot="1" x14ac:dyDescent="0.3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" thickBot="1" x14ac:dyDescent="0.3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" thickBot="1" x14ac:dyDescent="0.3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" thickBot="1" x14ac:dyDescent="0.3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" thickBot="1" x14ac:dyDescent="0.3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" thickBot="1" x14ac:dyDescent="0.3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" thickBot="1" x14ac:dyDescent="0.3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" thickBot="1" x14ac:dyDescent="0.3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" thickBot="1" x14ac:dyDescent="0.3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" thickBot="1" x14ac:dyDescent="0.3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" thickBot="1" x14ac:dyDescent="0.3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" thickBot="1" x14ac:dyDescent="0.3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" thickBot="1" x14ac:dyDescent="0.3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" thickBot="1" x14ac:dyDescent="0.3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" thickBot="1" x14ac:dyDescent="0.3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" thickBot="1" x14ac:dyDescent="0.3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" thickBot="1" x14ac:dyDescent="0.3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" thickBot="1" x14ac:dyDescent="0.3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" thickBot="1" x14ac:dyDescent="0.3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" thickBot="1" x14ac:dyDescent="0.3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" thickBot="1" x14ac:dyDescent="0.3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" thickBot="1" x14ac:dyDescent="0.3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" thickBot="1" x14ac:dyDescent="0.3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" thickBot="1" x14ac:dyDescent="0.3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" thickBot="1" x14ac:dyDescent="0.3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" thickBot="1" x14ac:dyDescent="0.3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" thickBot="1" x14ac:dyDescent="0.3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" thickBot="1" x14ac:dyDescent="0.3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" thickBot="1" x14ac:dyDescent="0.3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" thickBot="1" x14ac:dyDescent="0.3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" thickBot="1" x14ac:dyDescent="0.3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" thickBot="1" x14ac:dyDescent="0.3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" thickBot="1" x14ac:dyDescent="0.3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" thickBot="1" x14ac:dyDescent="0.3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" thickBot="1" x14ac:dyDescent="0.3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" thickBot="1" x14ac:dyDescent="0.3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" thickBot="1" x14ac:dyDescent="0.3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" thickBot="1" x14ac:dyDescent="0.3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" thickBot="1" x14ac:dyDescent="0.3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" thickBot="1" x14ac:dyDescent="0.3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" thickBot="1" x14ac:dyDescent="0.3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" thickBot="1" x14ac:dyDescent="0.3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" thickBot="1" x14ac:dyDescent="0.3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" thickBot="1" x14ac:dyDescent="0.3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" thickBot="1" x14ac:dyDescent="0.3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" thickBot="1" x14ac:dyDescent="0.3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" thickBot="1" x14ac:dyDescent="0.3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" thickBot="1" x14ac:dyDescent="0.3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" thickBot="1" x14ac:dyDescent="0.3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" thickBot="1" x14ac:dyDescent="0.3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" thickBot="1" x14ac:dyDescent="0.3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" thickBot="1" x14ac:dyDescent="0.3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" thickBot="1" x14ac:dyDescent="0.3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" thickBot="1" x14ac:dyDescent="0.3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" thickBot="1" x14ac:dyDescent="0.3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" thickBot="1" x14ac:dyDescent="0.3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" thickBot="1" x14ac:dyDescent="0.3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" thickBot="1" x14ac:dyDescent="0.3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" thickBot="1" x14ac:dyDescent="0.3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" thickBot="1" x14ac:dyDescent="0.3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" thickBot="1" x14ac:dyDescent="0.3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" thickBot="1" x14ac:dyDescent="0.3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" thickBot="1" x14ac:dyDescent="0.3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" thickBot="1" x14ac:dyDescent="0.3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" thickBot="1" x14ac:dyDescent="0.3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" thickBot="1" x14ac:dyDescent="0.3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" thickBot="1" x14ac:dyDescent="0.3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" thickBot="1" x14ac:dyDescent="0.3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" thickBot="1" x14ac:dyDescent="0.3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" thickBot="1" x14ac:dyDescent="0.3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" thickBot="1" x14ac:dyDescent="0.3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" thickBot="1" x14ac:dyDescent="0.3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" thickBot="1" x14ac:dyDescent="0.3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" thickBot="1" x14ac:dyDescent="0.3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" thickBot="1" x14ac:dyDescent="0.3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" thickBot="1" x14ac:dyDescent="0.3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" thickBot="1" x14ac:dyDescent="0.3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" thickBot="1" x14ac:dyDescent="0.3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" thickBot="1" x14ac:dyDescent="0.3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" thickBot="1" x14ac:dyDescent="0.3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" thickBot="1" x14ac:dyDescent="0.3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" thickBot="1" x14ac:dyDescent="0.3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" thickBot="1" x14ac:dyDescent="0.3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" thickBot="1" x14ac:dyDescent="0.3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" thickBot="1" x14ac:dyDescent="0.3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" thickBot="1" x14ac:dyDescent="0.3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" thickBot="1" x14ac:dyDescent="0.3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" thickBot="1" x14ac:dyDescent="0.3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" thickBot="1" x14ac:dyDescent="0.3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" thickBot="1" x14ac:dyDescent="0.3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" thickBot="1" x14ac:dyDescent="0.3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" thickBot="1" x14ac:dyDescent="0.3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" thickBot="1" x14ac:dyDescent="0.3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" thickBot="1" x14ac:dyDescent="0.3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" thickBot="1" x14ac:dyDescent="0.3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" thickBot="1" x14ac:dyDescent="0.3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" thickBot="1" x14ac:dyDescent="0.3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" thickBot="1" x14ac:dyDescent="0.3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" thickBot="1" x14ac:dyDescent="0.3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" thickBot="1" x14ac:dyDescent="0.3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" thickBot="1" x14ac:dyDescent="0.3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" thickBot="1" x14ac:dyDescent="0.3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" thickBot="1" x14ac:dyDescent="0.3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" thickBot="1" x14ac:dyDescent="0.3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" thickBot="1" x14ac:dyDescent="0.3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" thickBot="1" x14ac:dyDescent="0.3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" thickBot="1" x14ac:dyDescent="0.3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" thickBot="1" x14ac:dyDescent="0.3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" thickBot="1" x14ac:dyDescent="0.3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" thickBot="1" x14ac:dyDescent="0.3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" thickBot="1" x14ac:dyDescent="0.3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" thickBot="1" x14ac:dyDescent="0.3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" thickBot="1" x14ac:dyDescent="0.3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" thickBot="1" x14ac:dyDescent="0.3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" thickBot="1" x14ac:dyDescent="0.3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" thickBot="1" x14ac:dyDescent="0.3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" thickBot="1" x14ac:dyDescent="0.3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" thickBot="1" x14ac:dyDescent="0.3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" thickBot="1" x14ac:dyDescent="0.3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" thickBot="1" x14ac:dyDescent="0.3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" thickBot="1" x14ac:dyDescent="0.3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" thickBot="1" x14ac:dyDescent="0.3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" thickBot="1" x14ac:dyDescent="0.3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" thickBot="1" x14ac:dyDescent="0.3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" thickBot="1" x14ac:dyDescent="0.3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" thickBot="1" x14ac:dyDescent="0.3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" thickBot="1" x14ac:dyDescent="0.3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" thickBot="1" x14ac:dyDescent="0.3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" thickBot="1" x14ac:dyDescent="0.3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" thickBot="1" x14ac:dyDescent="0.3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" thickBot="1" x14ac:dyDescent="0.3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" thickBot="1" x14ac:dyDescent="0.3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" thickBot="1" x14ac:dyDescent="0.3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" thickBot="1" x14ac:dyDescent="0.3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" thickBot="1" x14ac:dyDescent="0.3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" thickBot="1" x14ac:dyDescent="0.3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" thickBot="1" x14ac:dyDescent="0.3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" thickBot="1" x14ac:dyDescent="0.3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" thickBot="1" x14ac:dyDescent="0.3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" thickBot="1" x14ac:dyDescent="0.3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" thickBot="1" x14ac:dyDescent="0.3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" thickBot="1" x14ac:dyDescent="0.3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" thickBot="1" x14ac:dyDescent="0.3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" thickBot="1" x14ac:dyDescent="0.3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" thickBot="1" x14ac:dyDescent="0.3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" thickBot="1" x14ac:dyDescent="0.3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" thickBot="1" x14ac:dyDescent="0.3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" thickBot="1" x14ac:dyDescent="0.3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" thickBot="1" x14ac:dyDescent="0.3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" thickBot="1" x14ac:dyDescent="0.3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" thickBot="1" x14ac:dyDescent="0.3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" thickBot="1" x14ac:dyDescent="0.3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" thickBot="1" x14ac:dyDescent="0.3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" thickBot="1" x14ac:dyDescent="0.3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" thickBot="1" x14ac:dyDescent="0.3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" thickBot="1" x14ac:dyDescent="0.3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" thickBot="1" x14ac:dyDescent="0.3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" thickBot="1" x14ac:dyDescent="0.3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" thickBot="1" x14ac:dyDescent="0.3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" thickBot="1" x14ac:dyDescent="0.3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" thickBot="1" x14ac:dyDescent="0.3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" thickBot="1" x14ac:dyDescent="0.3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" thickBot="1" x14ac:dyDescent="0.3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" thickBot="1" x14ac:dyDescent="0.3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" thickBot="1" x14ac:dyDescent="0.3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" thickBot="1" x14ac:dyDescent="0.3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" thickBot="1" x14ac:dyDescent="0.3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" thickBot="1" x14ac:dyDescent="0.3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" thickBot="1" x14ac:dyDescent="0.3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" thickBot="1" x14ac:dyDescent="0.3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" thickBot="1" x14ac:dyDescent="0.3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" thickBot="1" x14ac:dyDescent="0.3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" thickBot="1" x14ac:dyDescent="0.3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" thickBot="1" x14ac:dyDescent="0.3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" thickBot="1" x14ac:dyDescent="0.3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" thickBot="1" x14ac:dyDescent="0.3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" thickBot="1" x14ac:dyDescent="0.3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" thickBot="1" x14ac:dyDescent="0.3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" thickBot="1" x14ac:dyDescent="0.3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" thickBot="1" x14ac:dyDescent="0.3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" thickBot="1" x14ac:dyDescent="0.3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" thickBot="1" x14ac:dyDescent="0.3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" thickBot="1" x14ac:dyDescent="0.3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" thickBot="1" x14ac:dyDescent="0.3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" thickBot="1" x14ac:dyDescent="0.3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" thickBot="1" x14ac:dyDescent="0.3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" thickBot="1" x14ac:dyDescent="0.3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" thickBot="1" x14ac:dyDescent="0.3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" thickBot="1" x14ac:dyDescent="0.3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" thickBot="1" x14ac:dyDescent="0.3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" thickBot="1" x14ac:dyDescent="0.3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" thickBot="1" x14ac:dyDescent="0.3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" thickBot="1" x14ac:dyDescent="0.3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" thickBot="1" x14ac:dyDescent="0.3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" thickBot="1" x14ac:dyDescent="0.3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" thickBot="1" x14ac:dyDescent="0.3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" thickBot="1" x14ac:dyDescent="0.3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" thickBot="1" x14ac:dyDescent="0.3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" thickBot="1" x14ac:dyDescent="0.3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" thickBot="1" x14ac:dyDescent="0.3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" thickBot="1" x14ac:dyDescent="0.3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" thickBot="1" x14ac:dyDescent="0.3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" thickBot="1" x14ac:dyDescent="0.3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" thickBot="1" x14ac:dyDescent="0.3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" thickBot="1" x14ac:dyDescent="0.3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" thickBot="1" x14ac:dyDescent="0.3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" thickBot="1" x14ac:dyDescent="0.3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" thickBot="1" x14ac:dyDescent="0.3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" thickBot="1" x14ac:dyDescent="0.3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" thickBot="1" x14ac:dyDescent="0.3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" thickBot="1" x14ac:dyDescent="0.3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" thickBot="1" x14ac:dyDescent="0.3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</sheetData>
  <mergeCells count="14">
    <mergeCell ref="B65:G65"/>
    <mergeCell ref="A1:G1"/>
    <mergeCell ref="A2:G2"/>
    <mergeCell ref="A4:A5"/>
    <mergeCell ref="B4:B5"/>
    <mergeCell ref="C4:C5"/>
    <mergeCell ref="D4:D5"/>
    <mergeCell ref="E4:E5"/>
    <mergeCell ref="F4:G4"/>
    <mergeCell ref="B58:G58"/>
    <mergeCell ref="B61:G61"/>
    <mergeCell ref="B62:G62"/>
    <mergeCell ref="B63:G63"/>
    <mergeCell ref="B64:G64"/>
  </mergeCells>
  <pageMargins left="0.51181102362204722" right="0.31496062992125984" top="0.74803149606299213" bottom="0.74803149606299213" header="0.31496062992125984" footer="0.31496062992125984"/>
  <pageSetup paperSize="9"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RUP</vt:lpstr>
      <vt:lpstr>E-Kontrak</vt:lpstr>
      <vt:lpstr>Pencatatan Swakelola</vt:lpstr>
      <vt:lpstr>Pencatatan Non Tender</vt:lpstr>
      <vt:lpstr>Katalog</vt:lpstr>
      <vt:lpstr>Loka Pasar</vt:lpstr>
      <vt:lpstr>'Loka Pasar'!Print_Titles</vt:lpstr>
      <vt:lpstr>'Pencatatan Swakelola'!Print_Titles</vt:lpstr>
      <vt:lpstr>RUP!Print_Titles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Rizky Yulianto</cp:lastModifiedBy>
  <cp:lastPrinted>2026-09-03T07:13:14Z</cp:lastPrinted>
  <dcterms:created xsi:type="dcterms:W3CDTF">2026-08-23T13:25:32Z</dcterms:created>
  <dcterms:modified xsi:type="dcterms:W3CDTF">2026-09-16T08:44:20Z</dcterms:modified>
</cp:coreProperties>
</file>